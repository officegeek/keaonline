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Denne_projektmappe"/>
  <mc:AlternateContent xmlns:mc="http://schemas.openxmlformats.org/markup-compatibility/2006">
    <mc:Choice Requires="x15">
      <x15ac:absPath xmlns:x15ac="http://schemas.microsoft.com/office/spreadsheetml/2010/11/ac" url="https://d.docs.live.net/6ac1f8984512bd16/Dokumenter/GitHub/keaonline/1_semester/Forløb 1-3/sql/KEAsneakers/"/>
    </mc:Choice>
  </mc:AlternateContent>
  <xr:revisionPtr revIDLastSave="50" documentId="8_{7CD8DFE0-96D0-4D36-A662-60545C5E0467}" xr6:coauthVersionLast="47" xr6:coauthVersionMax="47" xr10:uidLastSave="{9619E126-8CFC-40B5-9584-43B294BE8A3A}"/>
  <bookViews>
    <workbookView xWindow="-103" yWindow="-103" windowWidth="24892" windowHeight="15943" activeTab="1" xr2:uid="{00000000-000D-0000-FFFF-FFFF00000000}"/>
  </bookViews>
  <sheets>
    <sheet name="Personale" sheetId="8" r:id="rId1"/>
    <sheet name="Kunde" sheetId="14" r:id="rId2"/>
    <sheet name="SalgsOrdreNye" sheetId="13" r:id="rId3"/>
    <sheet name="Produkter" sheetId="7" r:id="rId4"/>
    <sheet name="KøbsOrdreRefb" sheetId="15" r:id="rId5"/>
  </sheets>
  <definedNames>
    <definedName name="_xlnm._FilterDatabase" localSheetId="0" hidden="1">Personale!$B$1:$J$37</definedName>
    <definedName name="_xlcn.WorksheetConnection_keasneakers_data.xlsxtblKunder1" hidden="1">tblKunder[]</definedName>
    <definedName name="_xlcn.WorksheetConnection_keasneakers_data.xlsxtblPersonale1" hidden="1">tblPersonale[]</definedName>
    <definedName name="_xlcn.WorksheetConnection_keasneakers_data.xlsxtblProdukter1" hidden="1">tblProdukter[]</definedName>
    <definedName name="_xlcn.WorksheetConnection_keasneakers_data.xlsxtblSalgOrdre1" hidden="1">tblSalgOrdre[]</definedName>
    <definedName name="data" localSheetId="4">KøbsOrdreRefb!#REF!</definedName>
    <definedName name="data">SalgsOrdreNye!#REF!</definedName>
  </definedNames>
  <calcPr calcId="191028"/>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SalgOrdre" name="tblSalgOrdre" connection="WorksheetConnection_keasneakers_data.xlsx!tblSalgOrdre"/>
          <x15:modelTable id="tblProdukter" name="tblProdukter" connection="WorksheetConnection_keasneakers_data.xlsx!tblProdukter"/>
          <x15:modelTable id="tblPersonale" name="tblPersonale" connection="WorksheetConnection_keasneakers_data.xlsx!tblPersonale"/>
          <x15:modelTable id="tblKunder" name="tblKunder" connection="WorksheetConnection_keasneakers_data.xlsx!tblKunder"/>
        </x15:modelTables>
        <x15:modelRelationships>
          <x15:modelRelationship fromTable="tblSalgOrdre" fromColumn="Produktnummer" toTable="tblProdukter" toColumn="Produktnummer"/>
          <x15:modelRelationship fromTable="tblSalgOrdre" fromColumn="Kundenummer" toTable="tblKunder" toColumn="Kundenummer"/>
          <x15:modelRelationship fromTable="tblSalgOrdre" fromColumn="Personalenummer" toTable="tblPersonale" toColumn="Personalenummer"/>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15" l="1"/>
  <c r="I2" i="15"/>
  <c r="H3" i="15"/>
  <c r="I3" i="15"/>
  <c r="H5" i="15"/>
  <c r="I5" i="15"/>
  <c r="H6" i="15"/>
  <c r="I6" i="15"/>
  <c r="H7" i="15"/>
  <c r="I7" i="15"/>
  <c r="H8" i="15"/>
  <c r="I8" i="15"/>
  <c r="H9" i="15"/>
  <c r="I9" i="15"/>
  <c r="H10" i="15"/>
  <c r="I10" i="15"/>
  <c r="H11" i="15"/>
  <c r="I11" i="15"/>
  <c r="H12" i="15"/>
  <c r="I12" i="15"/>
  <c r="H13" i="15"/>
  <c r="I13" i="15"/>
  <c r="H14" i="15"/>
  <c r="I14" i="15"/>
  <c r="H15" i="15"/>
  <c r="I15" i="15"/>
  <c r="H16" i="15"/>
  <c r="I16" i="15"/>
  <c r="H17" i="15"/>
  <c r="I17" i="15"/>
  <c r="H18" i="15"/>
  <c r="I18" i="15"/>
  <c r="H19" i="15"/>
  <c r="I19" i="15"/>
  <c r="H20" i="15"/>
  <c r="I20" i="15"/>
  <c r="H21" i="15"/>
  <c r="I21" i="15"/>
  <c r="H22" i="15"/>
  <c r="I22" i="15"/>
  <c r="H23" i="15"/>
  <c r="I23" i="15"/>
  <c r="H24" i="15"/>
  <c r="I24" i="15"/>
  <c r="H25" i="15"/>
  <c r="I25" i="15"/>
  <c r="H26" i="15"/>
  <c r="I26" i="15"/>
  <c r="H27" i="15"/>
  <c r="I27" i="15"/>
  <c r="H28" i="15"/>
  <c r="I28" i="15"/>
  <c r="H4" i="15"/>
  <c r="I4" i="15"/>
  <c r="A3" i="8"/>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tc={0E8625D5-FF53-4867-9CA0-D5C523FF83ED}</author>
    <author>tc={A184CECC-CD83-4568-8943-48B8C41D753D}</author>
  </authors>
  <commentList>
    <comment ref="Q1" authorId="0" shapeId="0" xr:uid="{0E8625D5-FF53-4867-9CA0-D5C523FF83ED}">
      <text>
        <t>[Trådet kommentar]
Din version af Excel lader dig læse denne trådede kommentar. Eventuelle ændringer vil dog blive fjernet, hvis filen åbnes i en nyere version af Excel. Få mere at vide: https://go.microsoft.com/fwlink/?linkid=870924
Kommentar:
    @Mikkel Wessel Nielsen vi skal huske disse tre,d em skal vi bruge
Besvar:
    De hører vel til produktion og ikke produktinformation</t>
      </text>
    </comment>
    <comment ref="S1" authorId="1" shapeId="0" xr:uid="{A184CECC-CD83-4568-8943-48B8C41D753D}">
      <text>
        <t xml:space="preserve">[Trådet kommentar]
Din version af Excel lader dig læse denne trådede kommentar. Eventuelle ændringer vil dog blive fjernet, hvis filen åbnes i en nyere version af Excel. Få mere at vide: https://go.microsoft.com/fwlink/?linkid=870924
Kommentar:
    Kontonummer bør være henholdsvis 2010 og 2020 idet at PRODUKT sættet er interessant at opgøre kostpriser.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1671B23-5E51-4850-963F-5CEB548D24D9}" keepAlive="1" name="ThisWorkbookDataModel" description="Data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8B44F845-D84E-4819-863B-3B39ED32BB0F}" name="WorksheetConnection_keasneakers_data.xlsx!tblKunder" type="102" refreshedVersion="8" minRefreshableVersion="5">
    <extLst>
      <ext xmlns:x15="http://schemas.microsoft.com/office/spreadsheetml/2010/11/main" uri="{DE250136-89BD-433C-8126-D09CA5730AF9}">
        <x15:connection id="tblKunder">
          <x15:rangePr sourceName="_xlcn.WorksheetConnection_keasneakers_data.xlsxtblKunder1"/>
        </x15:connection>
      </ext>
    </extLst>
  </connection>
  <connection id="3" xr16:uid="{63A139C0-684F-41A8-A369-17F78E005660}" name="WorksheetConnection_keasneakers_data.xlsx!tblPersonale" type="102" refreshedVersion="8" minRefreshableVersion="5">
    <extLst>
      <ext xmlns:x15="http://schemas.microsoft.com/office/spreadsheetml/2010/11/main" uri="{DE250136-89BD-433C-8126-D09CA5730AF9}">
        <x15:connection id="tblPersonale">
          <x15:rangePr sourceName="_xlcn.WorksheetConnection_keasneakers_data.xlsxtblPersonale1"/>
        </x15:connection>
      </ext>
    </extLst>
  </connection>
  <connection id="4" xr16:uid="{B5C43816-2B0D-49E6-9448-1D76DFF428F1}" name="WorksheetConnection_keasneakers_data.xlsx!tblProdukter" type="102" refreshedVersion="8" minRefreshableVersion="5">
    <extLst>
      <ext xmlns:x15="http://schemas.microsoft.com/office/spreadsheetml/2010/11/main" uri="{DE250136-89BD-433C-8126-D09CA5730AF9}">
        <x15:connection id="tblProdukter">
          <x15:rangePr sourceName="_xlcn.WorksheetConnection_keasneakers_data.xlsxtblProdukter1"/>
        </x15:connection>
      </ext>
    </extLst>
  </connection>
  <connection id="5" xr16:uid="{5C0B5530-9C6A-497D-BB6C-55A7570FDBE0}" name="WorksheetConnection_keasneakers_data.xlsx!tblSalgOrdre" type="102" refreshedVersion="8" minRefreshableVersion="5">
    <extLst>
      <ext xmlns:x15="http://schemas.microsoft.com/office/spreadsheetml/2010/11/main" uri="{DE250136-89BD-433C-8126-D09CA5730AF9}">
        <x15:connection id="tblSalgOrdre">
          <x15:rangePr sourceName="_xlcn.WorksheetConnection_keasneakers_data.xlsxtblSalgOrdre1"/>
        </x15:connection>
      </ext>
    </extLst>
  </connection>
</connections>
</file>

<file path=xl/sharedStrings.xml><?xml version="1.0" encoding="utf-8"?>
<sst xmlns="http://schemas.openxmlformats.org/spreadsheetml/2006/main" count="1818" uniqueCount="382">
  <si>
    <t>Leadership</t>
  </si>
  <si>
    <t>Kontonummer</t>
  </si>
  <si>
    <t>Navn</t>
  </si>
  <si>
    <t>Produktnummer</t>
  </si>
  <si>
    <t>Kundenummer</t>
  </si>
  <si>
    <t>KEA-EASE-F-36-M</t>
  </si>
  <si>
    <t>KEA-EASE-F-37-M</t>
  </si>
  <si>
    <t>KEA-FLEX-M-43-P</t>
  </si>
  <si>
    <t>KEA-EASE-F-38-M</t>
  </si>
  <si>
    <t>KEA-FLEX-M-44-P</t>
  </si>
  <si>
    <t>KEA-EASE-F-39-M</t>
  </si>
  <si>
    <t>KEA-FLEX-M-45-P</t>
  </si>
  <si>
    <t>KEA-EASE-F-40-M</t>
  </si>
  <si>
    <t>KEA-FLEX-M-46-P</t>
  </si>
  <si>
    <t>KEA-EASE-F-41-M</t>
  </si>
  <si>
    <t>KEA-EASE-F-42-M</t>
  </si>
  <si>
    <t>KEA-EASE-F-43-M</t>
  </si>
  <si>
    <t>KEA-EASE-M-38-N</t>
  </si>
  <si>
    <t>KEA-EASE-M-39-N</t>
  </si>
  <si>
    <t>KEA-EASE-M-40-N</t>
  </si>
  <si>
    <t>KEA-EASE-M-41-N</t>
  </si>
  <si>
    <t>KEA-EASE-M-42-N</t>
  </si>
  <si>
    <t>KEA-EASE-M-43-N</t>
  </si>
  <si>
    <t>KEA-EASE-M-44-N</t>
  </si>
  <si>
    <t>KEA-EASE-M-45-N</t>
  </si>
  <si>
    <t>KEA-EASE-M-46-N</t>
  </si>
  <si>
    <t>KEA-FLEX-F-37-O</t>
  </si>
  <si>
    <t>KEA-FLEX-F-38-O</t>
  </si>
  <si>
    <t>KEA-FLEX-F-39-O</t>
  </si>
  <si>
    <t>KEA-FLEX-F-40-O</t>
  </si>
  <si>
    <t>KEA-FLEX-F-36-O</t>
  </si>
  <si>
    <t>KEA-FLEX-F-41-O</t>
  </si>
  <si>
    <t>KEA-FLEX-F-42-O</t>
  </si>
  <si>
    <t>KEA-FLEX-F-43-O</t>
  </si>
  <si>
    <t>KEA-FLEX-M-38-P</t>
  </si>
  <si>
    <t>KEA-FLEX-M-39-P</t>
  </si>
  <si>
    <t>KEA-FLEX-M-40-P</t>
  </si>
  <si>
    <t>KEA-FLEX-M-41-P</t>
  </si>
  <si>
    <t>KEA-FLEX-M-42-P</t>
  </si>
  <si>
    <t>KEA-FLEX-M-44-B</t>
  </si>
  <si>
    <t>KEA-FLEX-M-45-B</t>
  </si>
  <si>
    <t>KEA-FLEX-M-46-B</t>
  </si>
  <si>
    <t>KEA-FLEX-F-36-G</t>
  </si>
  <si>
    <t>KEA-FLEX-F-37-G</t>
  </si>
  <si>
    <t>KEA-FLEX-F-38-G</t>
  </si>
  <si>
    <t>KEA-FLEX-F-39-G</t>
  </si>
  <si>
    <t>KEA-FLEX-F-40-G</t>
  </si>
  <si>
    <t>KEA-FLEX-F-41-G</t>
  </si>
  <si>
    <t>KEA-FLEX-F-42-G</t>
  </si>
  <si>
    <t>KEA-FLEX-F-43-G</t>
  </si>
  <si>
    <t>KEA-FLEX-M-38-B</t>
  </si>
  <si>
    <t>KEA-FLEX-M-39-B</t>
  </si>
  <si>
    <t>KEA-FLEX-M-40-B</t>
  </si>
  <si>
    <t>KEA-FLEX-M-41-B</t>
  </si>
  <si>
    <t>KEA-FLEX-M-42-B</t>
  </si>
  <si>
    <t>KEA-FLEX-M-43-B</t>
  </si>
  <si>
    <t>KEA-EASE-F-43-H</t>
  </si>
  <si>
    <t>KEA-EASE-F-39-H</t>
  </si>
  <si>
    <t>KEA-EASE-F-38-H</t>
  </si>
  <si>
    <t>KEA-EASE-F-36-H</t>
  </si>
  <si>
    <t>KEA-EASE-F-37-H</t>
  </si>
  <si>
    <t>KEA-EASE-F-42-H</t>
  </si>
  <si>
    <t>KEA-EASE-M-43-S</t>
  </si>
  <si>
    <t>KEA-EASE-M-45-S</t>
  </si>
  <si>
    <t>KEA-EASE-F-41-H</t>
  </si>
  <si>
    <t>Personalenummer</t>
  </si>
  <si>
    <t>Alder</t>
  </si>
  <si>
    <t>Køn</t>
  </si>
  <si>
    <t>Ansat (måneder)</t>
  </si>
  <si>
    <t>Kompetance Level</t>
  </si>
  <si>
    <t>Leadership Team</t>
  </si>
  <si>
    <t>C-Level</t>
  </si>
  <si>
    <t xml:space="preserve">Afdeling </t>
  </si>
  <si>
    <t>Årsløn</t>
  </si>
  <si>
    <t>Amalie Andersen</t>
  </si>
  <si>
    <t>Kvinde</t>
  </si>
  <si>
    <t>Senior</t>
  </si>
  <si>
    <t>x</t>
  </si>
  <si>
    <t>CHRO</t>
  </si>
  <si>
    <t>Staff</t>
  </si>
  <si>
    <t>Amalie Olsen</t>
  </si>
  <si>
    <t>No</t>
  </si>
  <si>
    <t>IT</t>
  </si>
  <si>
    <t>Anna Christensen</t>
  </si>
  <si>
    <t>X</t>
  </si>
  <si>
    <t>CDO</t>
  </si>
  <si>
    <t>Design</t>
  </si>
  <si>
    <t>Anna Jensen</t>
  </si>
  <si>
    <t>Junior</t>
  </si>
  <si>
    <t>Benjamin Schmidt</t>
  </si>
  <si>
    <t>Mand</t>
  </si>
  <si>
    <t>Production</t>
  </si>
  <si>
    <t>Christian Møller</t>
  </si>
  <si>
    <t>Emil Christensen</t>
  </si>
  <si>
    <t>Salg</t>
  </si>
  <si>
    <t>Emil Thomsen</t>
  </si>
  <si>
    <t>CCO</t>
  </si>
  <si>
    <t>Emma Jørgensen</t>
  </si>
  <si>
    <t>Marketing</t>
  </si>
  <si>
    <t>Emma Nielsen</t>
  </si>
  <si>
    <t>Frederik Rasmussen</t>
  </si>
  <si>
    <t>Ida Olsen</t>
  </si>
  <si>
    <t>Jakob Pedersen</t>
  </si>
  <si>
    <t>Josefine Jensen</t>
  </si>
  <si>
    <t>Josefine Nielsen</t>
  </si>
  <si>
    <t>Laura Nielsen</t>
  </si>
  <si>
    <t>Customer Service</t>
  </si>
  <si>
    <t>Louise Jørgensen</t>
  </si>
  <si>
    <t>Lærke Jensen</t>
  </si>
  <si>
    <t>CFO</t>
  </si>
  <si>
    <t>Lærke Møller</t>
  </si>
  <si>
    <t>Mads Nielsen</t>
  </si>
  <si>
    <t>Mads Schmidt</t>
  </si>
  <si>
    <t>CIO</t>
  </si>
  <si>
    <t>Magnus Jensen</t>
  </si>
  <si>
    <t>Malthe Schmidt</t>
  </si>
  <si>
    <t>Marie Christensen</t>
  </si>
  <si>
    <t>CMO</t>
  </si>
  <si>
    <t>Mathias Møller</t>
  </si>
  <si>
    <t>Mikkel Hansen</t>
  </si>
  <si>
    <t>Oliver Petersen</t>
  </si>
  <si>
    <t>CXO</t>
  </si>
  <si>
    <t>Olivia Adamsen</t>
  </si>
  <si>
    <t>Oscar Madsen</t>
  </si>
  <si>
    <t>Oscar Nielsen</t>
  </si>
  <si>
    <t>Signe Hansen</t>
  </si>
  <si>
    <t>Signe Olsen</t>
  </si>
  <si>
    <t>CPO</t>
  </si>
  <si>
    <t>Sofia Thomsen</t>
  </si>
  <si>
    <t>Victor Nielsen</t>
  </si>
  <si>
    <t>CEO</t>
  </si>
  <si>
    <t>Victor Rasmussen</t>
  </si>
  <si>
    <t>William Petersen</t>
  </si>
  <si>
    <t>KEA-EASE-F-40-H</t>
  </si>
  <si>
    <t>KEA-EASE-M-38-S</t>
  </si>
  <si>
    <t>KEA-EASE-M-39-S</t>
  </si>
  <si>
    <t>KEA-EASE-M-40-S</t>
  </si>
  <si>
    <t>KEA-EASE-M-41-S</t>
  </si>
  <si>
    <t>KEA-EASE-M-42-S</t>
  </si>
  <si>
    <t>KEA-EASE-M-44-S</t>
  </si>
  <si>
    <t>KEA-EASE-M-46-S</t>
  </si>
  <si>
    <t>Efternavn</t>
  </si>
  <si>
    <t>Vejnavn</t>
  </si>
  <si>
    <t>Husnummer</t>
  </si>
  <si>
    <t>Postnummer</t>
  </si>
  <si>
    <t>By</t>
  </si>
  <si>
    <t>Mailadresse</t>
  </si>
  <si>
    <t>Telefonnummer</t>
  </si>
  <si>
    <t>Medlem</t>
  </si>
  <si>
    <t>Fødselsdato</t>
  </si>
  <si>
    <t>Civil status</t>
  </si>
  <si>
    <t>Beskæftigelse</t>
  </si>
  <si>
    <t>Hvilke SoMe platforme(r) bruger de?</t>
  </si>
  <si>
    <t>Syn på bæredygtighed</t>
  </si>
  <si>
    <t>Anna</t>
  </si>
  <si>
    <t>Jensen</t>
  </si>
  <si>
    <t>Birkelunden</t>
  </si>
  <si>
    <t>12A</t>
  </si>
  <si>
    <t>Slagelse</t>
  </si>
  <si>
    <t>anna.jensen@email.dk</t>
  </si>
  <si>
    <t>Nej</t>
  </si>
  <si>
    <t>Lars</t>
  </si>
  <si>
    <t>Nielsen</t>
  </si>
  <si>
    <t>Skovvej</t>
  </si>
  <si>
    <t>34B</t>
  </si>
  <si>
    <t>Ringsted</t>
  </si>
  <si>
    <t>lars.nielsen@email.dk</t>
  </si>
  <si>
    <t>Ja</t>
  </si>
  <si>
    <t>02.02.1981</t>
  </si>
  <si>
    <t>Gift</t>
  </si>
  <si>
    <t>i arbejde</t>
  </si>
  <si>
    <t>Instagram</t>
  </si>
  <si>
    <t>Maria</t>
  </si>
  <si>
    <t>Hansen</t>
  </si>
  <si>
    <t>Nørregade</t>
  </si>
  <si>
    <t>56C</t>
  </si>
  <si>
    <t>Roskilde</t>
  </si>
  <si>
    <t>maria.hansen@email.dk</t>
  </si>
  <si>
    <t>Sofia</t>
  </si>
  <si>
    <t>Larsen</t>
  </si>
  <si>
    <t>Vesterbrogade</t>
  </si>
  <si>
    <t>Copenhagen</t>
  </si>
  <si>
    <t>sofia.larsen@email.com</t>
  </si>
  <si>
    <t>10.06.1982</t>
  </si>
  <si>
    <t>Singel</t>
  </si>
  <si>
    <t>Freja</t>
  </si>
  <si>
    <t>Søndergade</t>
  </si>
  <si>
    <t>freja.hansen@email.com</t>
  </si>
  <si>
    <t>Maja</t>
  </si>
  <si>
    <t>Andersen</t>
  </si>
  <si>
    <t>Amagerbrogade</t>
  </si>
  <si>
    <t>maja.andersen@email.com</t>
  </si>
  <si>
    <t>15.03.1990</t>
  </si>
  <si>
    <t>studerende</t>
  </si>
  <si>
    <t>Emma</t>
  </si>
  <si>
    <t>Møller</t>
  </si>
  <si>
    <t xml:space="preserve"> Brygge</t>
  </si>
  <si>
    <t>emma.moller@email.com</t>
  </si>
  <si>
    <t>27.11.1987</t>
  </si>
  <si>
    <t>Ida</t>
  </si>
  <si>
    <t>Sønderbrogade</t>
  </si>
  <si>
    <t>ida.jensen@email.com</t>
  </si>
  <si>
    <t>02.08.1984</t>
  </si>
  <si>
    <t>Clara</t>
  </si>
  <si>
    <t>Christensen</t>
  </si>
  <si>
    <t>Fredriksbergvej</t>
  </si>
  <si>
    <t>clara.christensen@email.com</t>
  </si>
  <si>
    <t>03.12.1981</t>
  </si>
  <si>
    <t>TikTok</t>
  </si>
  <si>
    <t>Emilie</t>
  </si>
  <si>
    <t>Rasmussen</t>
  </si>
  <si>
    <t>Østerbrogade</t>
  </si>
  <si>
    <t>emilie.rasmussen@email.com</t>
  </si>
  <si>
    <t>14.02.1989</t>
  </si>
  <si>
    <t>Madsen</t>
  </si>
  <si>
    <t>Nørre Alle</t>
  </si>
  <si>
    <t>anna.madsen@email.com</t>
  </si>
  <si>
    <t>29.05.1983</t>
  </si>
  <si>
    <t>Isabella</t>
  </si>
  <si>
    <t>Olsen</t>
  </si>
  <si>
    <t>Vesterbro</t>
  </si>
  <si>
    <t>isabella.olsen@email.com</t>
  </si>
  <si>
    <t>Mathilde</t>
  </si>
  <si>
    <t>Pedersen</t>
  </si>
  <si>
    <t>mathilde.pedersen@email.com</t>
  </si>
  <si>
    <t>Mads</t>
  </si>
  <si>
    <t>Nørrebro</t>
  </si>
  <si>
    <t>mads.jensen@email.com</t>
  </si>
  <si>
    <t>Nikolaj</t>
  </si>
  <si>
    <t>nikolaj.andersen@email.com</t>
  </si>
  <si>
    <t>Frederik</t>
  </si>
  <si>
    <t>frederik.larsen@email.com</t>
  </si>
  <si>
    <t>William</t>
  </si>
  <si>
    <t>william.hansen@email.com</t>
  </si>
  <si>
    <t>Oscar</t>
  </si>
  <si>
    <t>Islands Brygge</t>
  </si>
  <si>
    <t>oscar.moller@email.com</t>
  </si>
  <si>
    <t>Lucas</t>
  </si>
  <si>
    <t>lucas.christensen@email.com</t>
  </si>
  <si>
    <t>Noah</t>
  </si>
  <si>
    <t>noah.rasmussen@email.com</t>
  </si>
  <si>
    <t>Elias</t>
  </si>
  <si>
    <t xml:space="preserve"> AlleNørre Alle</t>
  </si>
  <si>
    <t>elias.nielsen@email.com</t>
  </si>
  <si>
    <t>Carl</t>
  </si>
  <si>
    <t>carl.pedersen@email.com</t>
  </si>
  <si>
    <t>17.10.1986</t>
  </si>
  <si>
    <t>Viktor</t>
  </si>
  <si>
    <t>viktor.olsen@email.com</t>
  </si>
  <si>
    <t>Laura</t>
  </si>
  <si>
    <t>laura.andersen@email.com</t>
  </si>
  <si>
    <t>Frederikke|</t>
  </si>
  <si>
    <t>15.02.1992</t>
  </si>
  <si>
    <t>william.pedersen@email.com</t>
  </si>
  <si>
    <t>oscar.christensen@email.com</t>
  </si>
  <si>
    <t>maja.moller@email.com</t>
  </si>
  <si>
    <t>10.06.1985</t>
  </si>
  <si>
    <t>lucas.nielsen@email.com</t>
  </si>
  <si>
    <t>Nørrebrogade</t>
  </si>
  <si>
    <t>elias.madsen@email.com</t>
  </si>
  <si>
    <t>viktor.christensen@email.com</t>
  </si>
  <si>
    <t>Thomsen</t>
  </si>
  <si>
    <t>carl.thomsen@email.com</t>
  </si>
  <si>
    <t>ida.madsen@email.com</t>
  </si>
  <si>
    <t>clara.olsen@email.com</t>
  </si>
  <si>
    <t>emilie.pedersen@email.com</t>
  </si>
  <si>
    <t>anna.andersen@email.com</t>
  </si>
  <si>
    <t>isabella.christensen@email.com</t>
  </si>
  <si>
    <t>laura.moller@email.com</t>
  </si>
  <si>
    <t>mathilde.rasmussen@email.com</t>
  </si>
  <si>
    <t>Alberte</t>
  </si>
  <si>
    <t>alberte.thomsen@email.com</t>
  </si>
  <si>
    <t>Agnes</t>
  </si>
  <si>
    <t>agnes.jensen@email.com</t>
  </si>
  <si>
    <t>Olivia</t>
  </si>
  <si>
    <t>olivia.nielsen@email.com</t>
  </si>
  <si>
    <t>Magnus</t>
  </si>
  <si>
    <t>magnus.jensen@email.com</t>
  </si>
  <si>
    <t>Emil</t>
  </si>
  <si>
    <t>emil.andersen@email.com</t>
  </si>
  <si>
    <t>Julius</t>
  </si>
  <si>
    <t>julius.larsen@email.com</t>
  </si>
  <si>
    <t>noah.hansen@email.com</t>
  </si>
  <si>
    <t>Victor</t>
  </si>
  <si>
    <t>victor.moller@email.com</t>
  </si>
  <si>
    <t>william.christensen@email.com</t>
  </si>
  <si>
    <t>oscar.rasmussen@email.com</t>
  </si>
  <si>
    <t>carl.nielsen@email.com</t>
  </si>
  <si>
    <t>Alfred</t>
  </si>
  <si>
    <t>alfred.pedersen@email.com</t>
  </si>
  <si>
    <t>August</t>
  </si>
  <si>
    <t>august.olsen@email.com</t>
  </si>
  <si>
    <t>laura.christensen@email.com</t>
  </si>
  <si>
    <t>emilie.madsen@email.com</t>
  </si>
  <si>
    <t>18.07.1982</t>
  </si>
  <si>
    <t>Skolegade</t>
  </si>
  <si>
    <t>Vejle</t>
  </si>
  <si>
    <t>emma.jensen@email.com</t>
  </si>
  <si>
    <t>10.07.1985</t>
  </si>
  <si>
    <t>Hovedgaden</t>
  </si>
  <si>
    <t>Sofie</t>
  </si>
  <si>
    <t>Algade</t>
  </si>
  <si>
    <t>Kolding</t>
  </si>
  <si>
    <t>sofie.larsen@email.com</t>
  </si>
  <si>
    <t>Møllegade</t>
  </si>
  <si>
    <t>Odense</t>
  </si>
  <si>
    <t>ida.hansen@email.com</t>
  </si>
  <si>
    <t>Vestergade</t>
  </si>
  <si>
    <t>freja.moller@email.com</t>
  </si>
  <si>
    <t>Jernbanegade</t>
  </si>
  <si>
    <t>Grønnegade</t>
  </si>
  <si>
    <t>emma.rasmussen@email.com</t>
  </si>
  <si>
    <t>Single</t>
  </si>
  <si>
    <t>laura.pedersen@email.com</t>
  </si>
  <si>
    <t>Anton</t>
  </si>
  <si>
    <t>anton.olsen@email.com</t>
  </si>
  <si>
    <t>emil.madsen@email.com</t>
  </si>
  <si>
    <t>julius.andersen@email.com</t>
  </si>
  <si>
    <t>22.09.1988</t>
  </si>
  <si>
    <t>noah.larsen@email.com</t>
  </si>
  <si>
    <t>victor.hansen@email.com</t>
  </si>
  <si>
    <t>william.moller@email.com</t>
  </si>
  <si>
    <t>Ordrenummer</t>
  </si>
  <si>
    <t>Ordredato</t>
  </si>
  <si>
    <t>Forventet leveringsdato</t>
  </si>
  <si>
    <t>Antal stk</t>
  </si>
  <si>
    <t>Kostpris pr stk</t>
  </si>
  <si>
    <t>salgspris pr stk</t>
  </si>
  <si>
    <t>KEA-EASE-M-41-M</t>
  </si>
  <si>
    <t>Brand</t>
  </si>
  <si>
    <t>Produkt Navn</t>
  </si>
  <si>
    <t>Model</t>
  </si>
  <si>
    <t>Produkt Beskrivelse DK</t>
  </si>
  <si>
    <t>Produkt Beskrivelse US</t>
  </si>
  <si>
    <t>SalgsPris DKK</t>
  </si>
  <si>
    <t>Kostpris</t>
  </si>
  <si>
    <t>Pris USD</t>
  </si>
  <si>
    <t>Størrelse EU</t>
  </si>
  <si>
    <t>Størrelse US</t>
  </si>
  <si>
    <t>Farve</t>
  </si>
  <si>
    <t>Materiale</t>
  </si>
  <si>
    <t>Genanvendelsesgrad</t>
  </si>
  <si>
    <t>Certificering</t>
  </si>
  <si>
    <t>Co2 Transport</t>
  </si>
  <si>
    <t>CO2 PRoduktion</t>
  </si>
  <si>
    <t>KEAsneakers</t>
  </si>
  <si>
    <t>Ease</t>
  </si>
  <si>
    <t>Relaxed</t>
  </si>
  <si>
    <t>En bæredygtig sneakermodel, der forener stil og komfort med miljøvenlige værdier. Vores EcoEase-sneakers er skabt med omtanke for planeten, uden at gå på kompromis med design og kvalitet.</t>
  </si>
  <si>
    <t>A sustainable sneaker model that blends style and comfort with eco-friendly values. Our EcoEase sneakers are crafted with consideration for the planet, without compromising on design and quality.</t>
  </si>
  <si>
    <t>Hvid</t>
  </si>
  <si>
    <t>Læder</t>
  </si>
  <si>
    <t>Leather Working Group</t>
  </si>
  <si>
    <t>0,5 kg</t>
  </si>
  <si>
    <t>2,0 kg</t>
  </si>
  <si>
    <t>Sort</t>
  </si>
  <si>
    <t>Flex</t>
  </si>
  <si>
    <t>Sports</t>
  </si>
  <si>
    <t>En sporty sneakermodel, der kombinerer energi og bæredygtighed på en enestående måde. Vores EcoFlex-sneakers er skabt til dem, der omfavner en aktiv livsstil og samtidig ønsker at træffe positive valg for miljøet.</t>
  </si>
  <si>
    <t>A sporty sneaker model that combines energy and sustainability in an exceptional way. Our EcoFlex sneakers are created for those who embrace an active lifestyle while also aiming to make positive choices for the environment.</t>
  </si>
  <si>
    <t>Grøn</t>
  </si>
  <si>
    <t>Tekstil</t>
  </si>
  <si>
    <t>Fair Trade</t>
  </si>
  <si>
    <t>1,5 kg</t>
  </si>
  <si>
    <t>Blå</t>
  </si>
  <si>
    <t>Ease Plus</t>
  </si>
  <si>
    <t>En 100 procent bæredygtig sneakermodel, der forener stil og komfort med miljøvenlige værdier. Vores EcoEase-sneakers plus er produceret på en ny og innovativ måde, hvor bæredygtighed er nøgleordet</t>
  </si>
  <si>
    <t>A 100 percent sustainable sneaker model that combines style and comfort with environmentally friendly values. Our EcoEase sneakers plus are produced in a new and innovative way, where sustainability is the keyword</t>
  </si>
  <si>
    <t>Fair Trade Plus</t>
  </si>
  <si>
    <t>0,3 kg</t>
  </si>
  <si>
    <t>0,7 kg</t>
  </si>
  <si>
    <t>En 100 procent bæredygtig sneakermodel, der forener stil og komfort med miljøvenlige værdier. Vores EcoEase-sneakers plus er skabt til dem, der omfavner kloden og komfort. Modellen er produceret på en ny og innovativ måde, hvor bæredygtighed er nøgleordet</t>
  </si>
  <si>
    <t>A 100 percent sustainable sneaker model that combines style and comfort with environmentally friendly values. Our EcoEase sneakers plus are created for those who embrace the globe, comfort and an active lifestyle. The model is produced in a new and innovative way, where sustainability is the key word</t>
  </si>
  <si>
    <t>Flex Plus</t>
  </si>
  <si>
    <t>Status</t>
  </si>
  <si>
    <t>Kasseret</t>
  </si>
  <si>
    <t>KøbsordreRefb</t>
  </si>
  <si>
    <t>RefbOmk</t>
  </si>
  <si>
    <t>Type</t>
  </si>
  <si>
    <t>Ny</t>
  </si>
  <si>
    <t>Refb</t>
  </si>
  <si>
    <t>Genkøb pr stk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</si>
</sst>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_-* #,##0.00\ [$kr.-406]_-;\-* #,##0.00\ [$kr.-406]_-;_-* &quot;-&quot;??\ [$kr.-406]_-;_-@_-"/>
    <numFmt numFmtId="166" formatCode="_-[$$-409]* #,##0.00_ ;_-[$$-409]* \-#,##0.00\ ;_-[$$-409]* &quot;-&quot;??_ ;_-@_ "/>
  </numFmts>
  <fonts count="10" x14ac:knownFonts="1">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rgb="FF374151"/>
      <name val="Calibri"/>
      <family val="2"/>
      <scheme val="minor"/>
    </font>
    <font>
      <sz val="11"/>
      <color rgb="FF000000"/>
      <name val="Calibri"/>
      <family val="2"/>
      <charset val="1"/>
    </font>
    <font>
      <sz val="12"/>
      <color rgb="FF000000"/>
      <name val="Calibri"/>
      <family val="2"/>
    </font>
    <font>
      <sz val="8"/>
      <name val="Calibri"/>
      <family val="2"/>
      <scheme val="minor"/>
    </font>
  </fonts>
  <fills count="5">
    <fill>
      <patternFill patternType="none"/>
    </fill>
    <fill>
      <patternFill patternType="gray125"/>
    </fill>
    <fill>
      <patternFill patternType="solid">
        <fgColor theme="4"/>
        <bgColor theme="4"/>
      </patternFill>
    </fill>
    <fill>
      <patternFill patternType="solid">
        <fgColor rgb="FFF7F7F8"/>
        <bgColor rgb="FF000000"/>
      </patternFill>
    </fill>
    <fill>
      <patternFill patternType="solid">
        <fgColor theme="4"/>
        <bgColor indexed="64"/>
      </patternFill>
    </fill>
  </fills>
  <borders count="5">
    <border>
      <left/>
      <right/>
      <top/>
      <bottom/>
      <diagonal/>
    </border>
    <border>
      <left style="thin">
        <color theme="4"/>
      </left>
      <right/>
      <top style="thin">
        <color theme="4"/>
      </top>
      <bottom/>
      <diagonal/>
    </border>
    <border>
      <left/>
      <right/>
      <top style="thin">
        <color theme="4"/>
      </top>
      <bottom/>
      <diagonal/>
    </border>
    <border>
      <left style="medium">
        <color rgb="FFD9D9E3"/>
      </left>
      <right/>
      <top/>
      <bottom style="medium">
        <color rgb="FFD9D9E3"/>
      </bottom>
      <diagonal/>
    </border>
    <border>
      <left style="thin">
        <color theme="4"/>
      </left>
      <right/>
      <top/>
      <bottom/>
      <diagonal/>
    </border>
  </borders>
  <cellStyleXfs count="2">
    <xf numFmtId="0" fontId="0" fillId="0" borderId="0"/>
    <xf numFmtId="164" fontId="3" fillId="0" borderId="0" applyFont="0" applyFill="0" applyBorder="0" applyAlignment="0" applyProtection="0"/>
  </cellStyleXfs>
  <cellXfs count="37">
    <xf numFmtId="0" fontId="0" fillId="0" borderId="0" xfId="0"/>
    <xf numFmtId="0" fontId="0" fillId="0" borderId="1" xfId="0" applyBorder="1"/>
    <xf numFmtId="164" fontId="0" fillId="0" borderId="2" xfId="1" applyFont="1" applyBorder="1"/>
    <xf numFmtId="10" fontId="0" fillId="0" borderId="2" xfId="1" applyNumberFormat="1" applyFont="1" applyBorder="1"/>
    <xf numFmtId="164" fontId="4" fillId="0" borderId="2" xfId="1" applyFont="1" applyFill="1" applyBorder="1"/>
    <xf numFmtId="0" fontId="0" fillId="0" borderId="2" xfId="0" applyBorder="1" applyAlignment="1">
      <alignment horizontal="left" vertical="center"/>
    </xf>
    <xf numFmtId="165" fontId="0" fillId="0" borderId="2" xfId="1" applyNumberFormat="1" applyFont="1" applyBorder="1" applyAlignment="1">
      <alignment horizontal="left" vertical="center"/>
    </xf>
    <xf numFmtId="10" fontId="0" fillId="0" borderId="2" xfId="1" applyNumberFormat="1" applyFont="1" applyBorder="1" applyAlignment="1">
      <alignment horizontal="left" vertical="center"/>
    </xf>
    <xf numFmtId="0" fontId="0" fillId="0" borderId="2" xfId="1" applyNumberFormat="1" applyFont="1" applyBorder="1" applyAlignment="1">
      <alignment horizontal="left" vertical="center"/>
    </xf>
    <xf numFmtId="164" fontId="0" fillId="0" borderId="2" xfId="1" applyFont="1" applyBorder="1" applyAlignment="1">
      <alignment horizontal="left" vertical="center"/>
    </xf>
    <xf numFmtId="0" fontId="0" fillId="0" borderId="0" xfId="0" applyAlignment="1">
      <alignment horizontal="left" vertical="top"/>
    </xf>
    <xf numFmtId="166" fontId="0" fillId="0" borderId="2" xfId="1" applyNumberFormat="1" applyFont="1" applyBorder="1" applyAlignment="1">
      <alignment horizontal="left" vertical="center"/>
    </xf>
    <xf numFmtId="10" fontId="0" fillId="0" borderId="0" xfId="0" applyNumberFormat="1" applyAlignment="1">
      <alignment horizontal="left" vertical="top"/>
    </xf>
    <xf numFmtId="0" fontId="2" fillId="0" borderId="0" xfId="0" applyFont="1"/>
    <xf numFmtId="0" fontId="6" fillId="3" borderId="3" xfId="0" applyFont="1" applyFill="1" applyBorder="1" applyAlignment="1">
      <alignment wrapText="1"/>
    </xf>
    <xf numFmtId="3" fontId="6" fillId="3" borderId="3" xfId="0" applyNumberFormat="1" applyFont="1" applyFill="1" applyBorder="1" applyAlignment="1">
      <alignment wrapText="1"/>
    </xf>
    <xf numFmtId="0" fontId="4" fillId="4" borderId="0" xfId="0" applyFont="1" applyFill="1"/>
    <xf numFmtId="0" fontId="7" fillId="0" borderId="0" xfId="0" applyFont="1"/>
    <xf numFmtId="0" fontId="8" fillId="0" borderId="0" xfId="0" applyFont="1"/>
    <xf numFmtId="0" fontId="4" fillId="4" borderId="0" xfId="0" applyFont="1" applyFill="1" applyAlignment="1">
      <alignment horizontal="right"/>
    </xf>
    <xf numFmtId="0" fontId="8" fillId="0" borderId="0" xfId="0" applyFont="1" applyAlignment="1">
      <alignment horizontal="right"/>
    </xf>
    <xf numFmtId="0" fontId="0" fillId="0" borderId="0" xfId="0" applyAlignment="1">
      <alignment horizontal="right"/>
    </xf>
    <xf numFmtId="0" fontId="1" fillId="0" borderId="0" xfId="0" applyFont="1"/>
    <xf numFmtId="0" fontId="4" fillId="2" borderId="4" xfId="0" applyFont="1" applyFill="1" applyBorder="1"/>
    <xf numFmtId="0" fontId="4" fillId="2" borderId="0" xfId="0" applyFont="1" applyFill="1" applyAlignment="1">
      <alignment horizontal="left" vertical="center"/>
    </xf>
    <xf numFmtId="164" fontId="4" fillId="2" borderId="0" xfId="1" applyFont="1" applyFill="1" applyBorder="1" applyAlignment="1">
      <alignment horizontal="left" vertical="center"/>
    </xf>
    <xf numFmtId="164" fontId="5" fillId="4" borderId="0" xfId="1" applyFont="1" applyFill="1" applyBorder="1"/>
    <xf numFmtId="0" fontId="4" fillId="2" borderId="0" xfId="1" applyNumberFormat="1" applyFont="1" applyFill="1" applyBorder="1" applyAlignment="1">
      <alignment horizontal="left" vertical="center"/>
    </xf>
    <xf numFmtId="10" fontId="4" fillId="2" borderId="0" xfId="1" applyNumberFormat="1" applyFont="1" applyFill="1" applyBorder="1" applyAlignment="1">
      <alignment horizontal="left" vertical="center"/>
    </xf>
    <xf numFmtId="14" fontId="4" fillId="4" borderId="0" xfId="0" applyNumberFormat="1" applyFont="1" applyFill="1"/>
    <xf numFmtId="14" fontId="8" fillId="0" borderId="0" xfId="0" applyNumberFormat="1" applyFont="1"/>
    <xf numFmtId="14" fontId="0" fillId="0" borderId="0" xfId="0" applyNumberFormat="1"/>
    <xf numFmtId="14" fontId="4" fillId="4" borderId="0" xfId="0" applyNumberFormat="1" applyFont="1" applyFill="1" applyAlignment="1">
      <alignment horizontal="center"/>
    </xf>
    <xf numFmtId="0" fontId="4" fillId="4" borderId="0" xfId="0" applyFont="1" applyFill="1" applyAlignment="1">
      <alignment horizontal="center"/>
    </xf>
    <xf numFmtId="14" fontId="8" fillId="0" borderId="0" xfId="0" applyNumberFormat="1" applyFont="1" applyAlignment="1">
      <alignment horizontal="center"/>
    </xf>
    <xf numFmtId="14" fontId="0" fillId="0" borderId="0" xfId="0" applyNumberFormat="1" applyAlignment="1">
      <alignment horizontal="center"/>
    </xf>
    <xf numFmtId="0" fontId="0" fillId="0" borderId="0" xfId="0" applyAlignment="1">
      <alignment horizontal="center"/>
    </xf>
  </cellXfs>
  <cellStyles count="2">
    <cellStyle name="Normal" xfId="0" builtinId="0"/>
    <cellStyle name="Valuta" xfId="1" builtinId="4"/>
  </cellStyles>
  <dxfs count="71">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numFmt numFmtId="167" formatCode="m/d/yyyy"/>
      <alignment horizontal="center" vertical="bottom" textRotation="0" wrapText="0" indent="0" justifyLastLine="0" shrinkToFit="0" readingOrder="0"/>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numFmt numFmtId="0" formatCode="General"/>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i val="0"/>
        <strike val="0"/>
        <condense val="0"/>
        <extend val="0"/>
        <outline val="0"/>
        <shadow val="0"/>
        <u val="none"/>
        <vertAlign val="baseline"/>
        <sz val="11"/>
        <color theme="0"/>
        <name val="Calibri"/>
        <family val="2"/>
        <scheme val="minor"/>
      </font>
      <fill>
        <patternFill patternType="solid">
          <fgColor indexed="64"/>
          <bgColor theme="4"/>
        </patternFill>
      </fill>
    </dxf>
    <dxf>
      <border diagonalUp="0" diagonalDown="0">
        <left style="thin">
          <color theme="4"/>
        </left>
        <right/>
        <top style="thin">
          <color theme="4"/>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14" formatCode="0.00%"/>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0" formatCode="General"/>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166" formatCode="_-[$$-409]* #,##0.00_ ;_-[$$-409]* \-#,##0.00\ ;_-[$$-409]* &quot;-&quot;??_ ;_-@_ "/>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165" formatCode="_-* #,##0.00\ [$kr.-406]_-;\-* #,##0.00\ [$kr.-406]_-;_-* &quot;-&quot;??\ [$kr.-406]_-;_-@_-"/>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family val="2"/>
        <scheme val="minor"/>
      </font>
      <numFmt numFmtId="165" formatCode="_-* #,##0.00\ [$kr.-406]_-;\-* #,##0.00\ [$kr.-406]_-;_-* &quot;-&quot;??\ [$kr.-406]_-;_-@_-"/>
      <alignment horizontal="left" vertical="center"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rgb="FF000000"/>
        <name val="Calibri"/>
        <family val="2"/>
        <charset val="1"/>
        <scheme val="none"/>
      </font>
    </dxf>
    <dxf>
      <alignment horizontal="left" vertical="center" textRotation="0" wrapText="0" indent="0" justifyLastLine="0" shrinkToFit="0" readingOrder="0"/>
      <border diagonalUp="0" diagonalDown="0">
        <left/>
        <right/>
        <top style="thin">
          <color theme="4"/>
        </top>
        <bottom/>
        <vertical/>
        <horizontal/>
      </border>
    </dxf>
    <dxf>
      <alignment horizontal="left" vertical="center" textRotation="0" wrapText="0" indent="0" justifyLastLine="0" shrinkToFit="0" readingOrder="0"/>
      <border diagonalUp="0" diagonalDown="0">
        <left/>
        <right/>
        <top style="thin">
          <color theme="4"/>
        </top>
        <bottom/>
        <vertical/>
        <horizontal/>
      </border>
    </dxf>
    <dxf>
      <alignment horizontal="left" vertical="center" textRotation="0" wrapText="0" indent="0" justifyLastLine="0" shrinkToFit="0" readingOrder="0"/>
      <border diagonalUp="0" diagonalDown="0">
        <left/>
        <right/>
        <top style="thin">
          <color theme="4"/>
        </top>
        <bottom/>
        <vertical/>
        <horizontal/>
      </border>
    </dxf>
    <dxf>
      <alignment horizontal="left" vertical="center" textRotation="0" wrapText="0" indent="0" justifyLastLine="0" shrinkToFit="0" readingOrder="0"/>
      <border diagonalUp="0" diagonalDown="0">
        <left/>
        <right/>
        <top style="thin">
          <color theme="4"/>
        </top>
        <bottom/>
        <vertical/>
        <horizontal/>
      </border>
    </dxf>
    <dxf>
      <alignment horizontal="left" vertical="center" textRotation="0" wrapText="0" indent="0" justifyLastLine="0" shrinkToFit="0" readingOrder="0"/>
      <border diagonalUp="0" diagonalDown="0">
        <left/>
        <right/>
        <top style="thin">
          <color theme="4"/>
        </top>
        <bottom/>
        <vertical/>
        <horizontal/>
      </border>
    </dxf>
    <dxf>
      <alignment horizontal="left" vertical="center" textRotation="0" wrapText="0" indent="0" justifyLastLine="0" shrinkToFit="0" readingOrder="0"/>
      <border diagonalUp="0" diagonalDown="0">
        <left/>
        <right/>
        <top style="thin">
          <color theme="4"/>
        </top>
        <bottom/>
        <vertical/>
        <horizontal/>
      </border>
    </dxf>
    <dxf>
      <border outline="0">
        <left style="thin">
          <color theme="4"/>
        </left>
        <top style="thin">
          <color theme="4"/>
        </top>
      </border>
    </dxf>
    <dxf>
      <font>
        <b val="0"/>
        <i val="0"/>
        <strike val="0"/>
        <condense val="0"/>
        <extend val="0"/>
        <outline val="0"/>
        <shadow val="0"/>
        <u val="none"/>
        <vertAlign val="baseline"/>
        <sz val="11"/>
        <color theme="0"/>
        <name val="Calibri"/>
        <family val="2"/>
        <scheme val="minor"/>
      </font>
      <fill>
        <patternFill patternType="solid">
          <fgColor indexed="64"/>
          <bgColor theme="4"/>
        </patternFill>
      </fill>
    </dxf>
    <dxf>
      <font>
        <b val="0"/>
        <i val="0"/>
        <strike val="0"/>
        <condense val="0"/>
        <extend val="0"/>
        <outline val="0"/>
        <shadow val="0"/>
        <u val="none"/>
        <vertAlign val="baseline"/>
        <sz val="12"/>
        <color rgb="FF000000"/>
        <name val="Calibri"/>
        <family val="2"/>
        <scheme val="none"/>
      </font>
      <numFmt numFmtId="0" formatCode="General"/>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numFmt numFmtId="167" formatCode="m/d/yyyy"/>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i val="0"/>
        <strike val="0"/>
        <condense val="0"/>
        <extend val="0"/>
        <outline val="0"/>
        <shadow val="0"/>
        <u val="none"/>
        <vertAlign val="baseline"/>
        <sz val="11"/>
        <color theme="0"/>
        <name val="Calibri"/>
        <family val="2"/>
        <scheme val="minor"/>
      </font>
      <fill>
        <patternFill patternType="solid">
          <fgColor indexed="64"/>
          <bgColor theme="4"/>
        </patternFill>
      </fill>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alignment horizontal="right" vertical="bottom" textRotation="0" wrapText="0" indent="0" justifyLastLine="0" shrinkToFit="0" readingOrder="0"/>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i val="0"/>
        <strike val="0"/>
        <condense val="0"/>
        <extend val="0"/>
        <outline val="0"/>
        <shadow val="0"/>
        <u val="none"/>
        <vertAlign val="baseline"/>
        <sz val="11"/>
        <color theme="0"/>
        <name val="Calibri"/>
        <family val="2"/>
        <scheme val="minor"/>
      </font>
      <fill>
        <patternFill patternType="solid">
          <fgColor indexed="64"/>
          <bgColor theme="4"/>
        </patternFill>
      </fill>
    </dxf>
    <dxf>
      <font>
        <b val="0"/>
        <i val="0"/>
        <strike val="0"/>
        <condense val="0"/>
        <extend val="0"/>
        <outline val="0"/>
        <shadow val="0"/>
        <u val="none"/>
        <vertAlign val="baseline"/>
        <sz val="11"/>
        <color rgb="FF374151"/>
        <name val="Calibri"/>
        <family val="2"/>
        <scheme val="minor"/>
      </font>
      <numFmt numFmtId="3" formatCode="#,##0"/>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border diagonalUp="0" diagonalDown="0">
        <left style="medium">
          <color rgb="FFD9D9E3"/>
        </left>
        <right/>
        <top/>
        <bottom style="medium">
          <color rgb="FFD9D9E3"/>
        </bottom>
        <vertical/>
        <horizontal/>
      </border>
    </dxf>
    <dxf>
      <font>
        <b val="0"/>
        <i val="0"/>
        <strike val="0"/>
        <condense val="0"/>
        <extend val="0"/>
        <outline val="0"/>
        <shadow val="0"/>
        <u val="none"/>
        <vertAlign val="baseline"/>
        <sz val="11"/>
        <color theme="1"/>
        <name val="Calibri"/>
        <family val="2"/>
        <scheme val="minor"/>
      </font>
    </dxf>
    <dxf>
      <border outline="0">
        <top style="thin">
          <color theme="4"/>
        </top>
      </border>
    </dxf>
    <dxf>
      <font>
        <b val="0"/>
        <i val="0"/>
        <strike val="0"/>
        <condense val="0"/>
        <extend val="0"/>
        <outline val="0"/>
        <shadow val="0"/>
        <u val="none"/>
        <vertAlign val="baseline"/>
        <sz val="11"/>
        <color rgb="FF374151"/>
        <name val="Calibri"/>
        <family val="2"/>
        <scheme val="minor"/>
      </font>
      <fill>
        <patternFill patternType="solid">
          <fgColor rgb="FF000000"/>
          <bgColor rgb="FFF7F7F8"/>
        </patternFill>
      </fill>
      <alignment horizontal="general" vertical="bottom"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 Type="http://schemas.openxmlformats.org/officeDocument/2006/relationships/worksheet" Target="worksheets/sheet3.xml"/><Relationship Id="rId21" Type="http://schemas.openxmlformats.org/officeDocument/2006/relationships/customXml" Target="../customXml/item9.xml"/><Relationship Id="rId34" Type="http://schemas.openxmlformats.org/officeDocument/2006/relationships/customXml" Target="../customXml/item22.xml"/><Relationship Id="rId7" Type="http://schemas.openxmlformats.org/officeDocument/2006/relationships/connections" Target="connections.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customXml" Target="../customXml/item4.xml"/><Relationship Id="rId20" Type="http://schemas.openxmlformats.org/officeDocument/2006/relationships/customXml" Target="../customXml/item8.xml"/><Relationship Id="rId29"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10/relationships/person" Target="persons/person.xml"/><Relationship Id="rId24" Type="http://schemas.openxmlformats.org/officeDocument/2006/relationships/customXml" Target="../customXml/item12.xml"/><Relationship Id="rId32"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microsoft.com/office/2006/relationships/vbaProject" Target="vbaProject.bin"/><Relationship Id="rId10" Type="http://schemas.openxmlformats.org/officeDocument/2006/relationships/powerPivotData" Target="model/item.data"/><Relationship Id="rId19" Type="http://schemas.openxmlformats.org/officeDocument/2006/relationships/customXml" Target="../customXml/item7.xml"/><Relationship Id="rId31"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8"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Mikkel Wessel Nielsen" id="{8C879A3A-2C09-4F2E-9854-8B122575DEE0}" userId="MIWN@kea.dk" providerId="PeoplePicker"/>
  <person displayName="Henrik Kraght" id="{1F454351-E73E-4A14-BDD9-F6565DBD4AAA}" userId="S::HENK@kea.dk::e86ac070-f484-4b2d-9cd9-87c39476c0cf" providerId="AD"/>
  <person displayName="Janni Høyer Thoft" id="{BF2E90DF-C2A1-4892-8D1B-B8FCFC7B877A}" userId="S::jaht@kea.dk::22e1bc3a-2c98-423d-ae2b-cf03f3a303db" providerId="AD"/>
  <person displayName="Mikkel Wessel Nielsen" id="{05764FF1-BCD9-413D-9C89-9D2805FFA027}" userId="S::miwn@kea.dk::85e975a5-8ec4-47ca-be38-78732c0b61e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4D6B990-FB1E-41AF-B8C0-4C7B2916E3CC}" name="tblPersonale" displayName="tblPersonale" ref="A1:J37" totalsRowShown="0" headerRowDxfId="70" dataDxfId="69" tableBorderDxfId="68">
  <autoFilter ref="A1:J37" xr:uid="{E4D6B990-FB1E-41AF-B8C0-4C7B2916E3CC}"/>
  <sortState xmlns:xlrd2="http://schemas.microsoft.com/office/spreadsheetml/2017/richdata2" ref="A2:J37">
    <sortCondition ref="A2:A37"/>
  </sortState>
  <tableColumns count="10">
    <tableColumn id="1" xr3:uid="{06E1FC5F-230B-4FA5-A5FC-33B361696781}" name="Personalenummer" dataDxfId="67">
      <calculatedColumnFormula>+A1+3</calculatedColumnFormula>
    </tableColumn>
    <tableColumn id="2" xr3:uid="{2F4549B7-C84A-4E51-9791-93960D2B8417}" name="Navn" dataDxfId="66"/>
    <tableColumn id="3" xr3:uid="{126877E4-5670-4C93-AEDF-F0DAD6B5BDAB}" name="Alder" dataDxfId="65"/>
    <tableColumn id="4" xr3:uid="{9B2F7F6C-2AC4-4EA5-80D4-C95735A9E7A1}" name="Køn" dataDxfId="64"/>
    <tableColumn id="5" xr3:uid="{EA588D5E-BE9A-4687-AC6B-96BE1F0256E2}" name="Ansat (måneder)" dataDxfId="63"/>
    <tableColumn id="6" xr3:uid="{1F11A1F3-C1B7-4B5D-AA35-252362DEAB98}" name="Kompetance Level" dataDxfId="62"/>
    <tableColumn id="7" xr3:uid="{F1DA2CF3-8362-4F3A-9D07-FF51824D82DF}" name="Leadership Team" dataDxfId="61"/>
    <tableColumn id="8" xr3:uid="{0664961D-25C0-4324-A348-D90B65C82A90}" name="C-Level" dataDxfId="60"/>
    <tableColumn id="9" xr3:uid="{01511959-A43D-4361-AF1A-C79E2D21998B}" name="Afdeling " dataDxfId="59"/>
    <tableColumn id="10" xr3:uid="{0D7E8ABD-85C4-4763-B084-70E0BE6EE194}" name="Årsløn" dataDxfId="5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2E1D07-C014-4B35-B78B-F192B1303A3A}" name="tblKunder" displayName="tblKunder" ref="A1:P80" totalsRowShown="0" headerRowDxfId="57">
  <autoFilter ref="A1:P80" xr:uid="{602E1D07-C014-4B35-B78B-F192B1303A3A}"/>
  <sortState xmlns:xlrd2="http://schemas.microsoft.com/office/spreadsheetml/2017/richdata2" ref="A2:P80">
    <sortCondition ref="A2:A90"/>
  </sortState>
  <tableColumns count="16">
    <tableColumn id="1" xr3:uid="{5C506893-5B98-4406-8620-73A50D736DEA}" name="Kundenummer" dataDxfId="56"/>
    <tableColumn id="2" xr3:uid="{37560BC2-7EC8-4040-9A24-A65C243BE339}" name="Navn" dataDxfId="55"/>
    <tableColumn id="3" xr3:uid="{BFA916DD-659D-4E97-9201-D2AAE52F24EB}" name="Efternavn" dataDxfId="54"/>
    <tableColumn id="4" xr3:uid="{74CA6AD4-C667-4738-9524-912DC6D94701}" name="Vejnavn" dataDxfId="53"/>
    <tableColumn id="5" xr3:uid="{B879FED4-8EAD-45FB-99B0-2A04B1883530}" name="Husnummer" dataDxfId="52"/>
    <tableColumn id="6" xr3:uid="{63F3EC17-FB31-4123-A985-15E7F4DEE18B}" name="Postnummer" dataDxfId="51"/>
    <tableColumn id="7" xr3:uid="{6770AA89-6B3E-4076-871A-A275C4F74623}" name="By" dataDxfId="50"/>
    <tableColumn id="8" xr3:uid="{E7F4EA58-390C-4C96-AFB3-B7CBF0491E6A}" name="Mailadresse" dataDxfId="49"/>
    <tableColumn id="9" xr3:uid="{DBFD39B6-4B8A-4141-B059-139B6015EBB7}" name="Telefonnummer" dataDxfId="48"/>
    <tableColumn id="10" xr3:uid="{D29CD0E8-CD15-4CAE-98F0-94E16753E90E}" name="Medlem" dataDxfId="47"/>
    <tableColumn id="11" xr3:uid="{76E1952F-49D5-4372-B82D-2BEAAFB20AC9}" name="Køn" dataDxfId="46"/>
    <tableColumn id="12" xr3:uid="{9E6B2649-BB95-481E-A45E-2637964673F4}" name="Fødselsdato" dataDxfId="45"/>
    <tableColumn id="13" xr3:uid="{1424DB66-F1F2-4514-B857-5F687D6FDB27}" name="Civil status"/>
    <tableColumn id="14" xr3:uid="{E74A3737-32C8-484C-88C9-8AD8338BAF09}" name="Beskæftigelse"/>
    <tableColumn id="15" xr3:uid="{6BF80199-2789-4BCE-BF34-653FC4608472}" name="Hvilke SoMe platforme(r) bruger de?"/>
    <tableColumn id="16" xr3:uid="{2AF3DF7A-6AE7-42A2-9101-13F57813D5C3}" name="Syn på bæredygtighe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AE751DB-007A-485C-A8CA-CC1BE2D9B63C}" name="tblSalgOrdre" displayName="tblSalgOrdre" ref="A1:J29" totalsRowShown="0" headerRowDxfId="44" dataDxfId="43">
  <sortState xmlns:xlrd2="http://schemas.microsoft.com/office/spreadsheetml/2017/richdata2" ref="A2:J28">
    <sortCondition ref="B2:B28"/>
  </sortState>
  <tableColumns count="10">
    <tableColumn id="1" xr3:uid="{646CE5C7-3C2A-4B97-97C5-48AE7B179EC2}" name="Ordrenummer" dataDxfId="42"/>
    <tableColumn id="11" xr3:uid="{1A2BCAF4-13AA-40FE-85EF-1930314B4CF1}" name="Ordredato" dataDxfId="41"/>
    <tableColumn id="13" xr3:uid="{71A66FCF-A425-4BC9-A673-A5409247F602}" name="Forventet leveringsdato" dataDxfId="40"/>
    <tableColumn id="4" xr3:uid="{1F847D6A-867B-4569-807D-432A2C936390}" name="Produktnummer" dataDxfId="39"/>
    <tableColumn id="5" xr3:uid="{0300A98D-F6D9-4CE6-8D08-0AB00DB2AE74}" name="Antal stk" dataDxfId="38"/>
    <tableColumn id="2" xr3:uid="{81F4A934-BE9C-4702-96E1-004498F3A141}" name="Type" dataDxfId="0"/>
    <tableColumn id="6" xr3:uid="{6ABE37BE-5A81-4303-A30F-AEBAA1B82D90}" name="Kostpris pr stk" dataDxfId="37"/>
    <tableColumn id="7" xr3:uid="{9C8B73DB-01FA-4C14-8FA9-7945F78B3357}" name="salgspris pr stk" dataDxfId="36"/>
    <tableColumn id="8" xr3:uid="{EFB650E8-3A73-4EF9-9D72-EF3B3C8BC6FA}" name="Kundenummer" dataDxfId="35"/>
    <tableColumn id="9" xr3:uid="{3C0EDD28-1FCC-46E4-93F1-A6A4879F4B2B}" name="Personalenummer" dataDxfId="3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90011AB-F278-4DD8-B92E-BEC62E8551B6}" name="tblProdukter" displayName="tblProdukter" ref="A1:S69" totalsRowShown="0" headerRowDxfId="33" tableBorderDxfId="32" headerRowCellStyle="Valuta">
  <autoFilter ref="A1:S69" xr:uid="{190011AB-F278-4DD8-B92E-BEC62E8551B6}"/>
  <tableColumns count="19">
    <tableColumn id="1" xr3:uid="{C35EF761-BDE2-4ED8-AF6C-A8416A8B88AA}" name="Produktnummer" dataDxfId="31"/>
    <tableColumn id="2" xr3:uid="{24C3185A-5053-4A86-814D-BA9C68B405EC}" name="Brand" dataDxfId="30"/>
    <tableColumn id="3" xr3:uid="{23A0F1F6-9CB7-494A-A631-3F04739B5A44}" name="Produkt Navn" dataDxfId="29"/>
    <tableColumn id="4" xr3:uid="{A79FD93B-B103-4640-8A9C-BCC2D5469C6B}" name="Model" dataDxfId="28"/>
    <tableColumn id="5" xr3:uid="{360B392B-3F65-4063-9ED8-32C55540C28B}" name="Køn" dataDxfId="27"/>
    <tableColumn id="6" xr3:uid="{37A72570-DDC7-472B-99B0-A1FFCC8441DD}" name="Produkt Beskrivelse DK" dataDxfId="26"/>
    <tableColumn id="7" xr3:uid="{F7E84E0D-B6E2-4C61-A6DF-6EB77944A5C8}" name="Produkt Beskrivelse US" dataDxfId="25"/>
    <tableColumn id="8" xr3:uid="{8EC16B62-4D6F-4627-A950-668355458356}" name="SalgsPris DKK" dataDxfId="24" dataCellStyle="Valuta"/>
    <tableColumn id="9" xr3:uid="{B32C6D75-DABD-44DA-80AC-D1A94FF7613D}" name="Kostpris" dataDxfId="23" dataCellStyle="Valuta"/>
    <tableColumn id="10" xr3:uid="{DBA2EB28-7EC0-48B5-A866-7EE0C777CBBE}" name="Pris USD" dataDxfId="22" dataCellStyle="Valuta"/>
    <tableColumn id="11" xr3:uid="{0F2A7107-0127-40AF-BC15-74B98014E372}" name="Størrelse EU" dataDxfId="21" dataCellStyle="Valuta"/>
    <tableColumn id="12" xr3:uid="{2CFA4DC3-7281-456C-87E9-7EA0CDCEA457}" name="Størrelse US" dataDxfId="20" dataCellStyle="Valuta"/>
    <tableColumn id="13" xr3:uid="{0AD3B309-5342-45E6-A06D-165B9489CA55}" name="Farve" dataDxfId="19" dataCellStyle="Valuta"/>
    <tableColumn id="14" xr3:uid="{FCD3E597-70A1-4CDB-AE0A-103EFA39F293}" name="Materiale" dataDxfId="18" dataCellStyle="Valuta"/>
    <tableColumn id="15" xr3:uid="{7D0000BB-B956-4E14-A06A-C645207479BB}" name="Genanvendelsesgrad" dataDxfId="17" dataCellStyle="Valuta"/>
    <tableColumn id="16" xr3:uid="{9519D2C6-91E2-4130-B25D-A4E41350893E}" name="Certificering" dataDxfId="16" dataCellStyle="Valuta"/>
    <tableColumn id="17" xr3:uid="{0F03A5EF-4C35-40E7-9AAE-2914641BF648}" name="Co2 Transport"/>
    <tableColumn id="18" xr3:uid="{D7E0BF45-33E3-4589-B1B9-9D720966AAF8}" name="CO2 PRoduktion" dataDxfId="15" dataCellStyle="Valuta"/>
    <tableColumn id="19" xr3:uid="{6192397C-55C3-4797-BBB9-654C082AA1D5}" name="Kontonummer" dataDxfId="1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A2F3078-152F-458A-B64D-15614C0ED26C}" name="tblSalgOrdre2" displayName="tblSalgOrdre2" ref="A1:K28" totalsRowShown="0" headerRowDxfId="13" dataDxfId="12">
  <sortState xmlns:xlrd2="http://schemas.microsoft.com/office/spreadsheetml/2017/richdata2" ref="A2:K28">
    <sortCondition ref="B2:B28"/>
  </sortState>
  <tableColumns count="11">
    <tableColumn id="1" xr3:uid="{27BB0D76-FB74-4FC5-B509-2D2E4F6EE09B}" name="KøbsordreRefb" dataDxfId="6"/>
    <tableColumn id="11" xr3:uid="{263C4662-CCA8-4CED-AE6C-417A772FA401}" name="Ordredato" dataDxfId="5"/>
    <tableColumn id="13" xr3:uid="{1D5A398B-9B9E-46EB-B90C-22B12AA357FC}" name="Forventet leveringsdato" dataDxfId="3"/>
    <tableColumn id="4" xr3:uid="{8D1412C1-98D7-46E6-87B5-F7ED80FD1AC2}" name="Produktnummer" dataDxfId="4"/>
    <tableColumn id="5" xr3:uid="{27F1A546-4536-4CB2-8D63-B527A2FB8ABE}" name="Antal stk" dataDxfId="11"/>
    <tableColumn id="2" xr3:uid="{50F13C1C-00B2-42DE-A47A-D07D93CF844C}" name="Status" dataDxfId="2"/>
    <tableColumn id="6" xr3:uid="{52B1A0F4-1CF9-407F-B204-6FD7084D1D35}" name="Genkøb pr stk" dataDxfId="10"/>
    <tableColumn id="3" xr3:uid="{3A10F885-0B7E-4AA9-9EDB-CBE78F058522}" name="RefbOmk" dataDxfId="1"/>
    <tableColumn id="7" xr3:uid="{827A2187-E3D0-4AAC-8CB5-2B452FDC9003}" name="salgspris pr stk" dataDxfId="9"/>
    <tableColumn id="8" xr3:uid="{F6299FFD-5209-45CE-8458-1B6C9C33212F}" name="Kundenummer" dataDxfId="8"/>
    <tableColumn id="9" xr3:uid="{EB110DEE-D8A5-4164-ACA9-8E46393E8DB3}" name="Personalenummer" dataDxf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 dT="2023-08-07T08:32:43.05" personId="{BF2E90DF-C2A1-4892-8D1B-B8FCFC7B877A}" id="{0E8625D5-FF53-4867-9CA0-D5C523FF83ED}">
    <text>@Mikkel Wessel Nielsen vi skal huske disse tre,d em skal vi bruge</text>
    <mentions>
      <mention mentionpersonId="{8C879A3A-2C09-4F2E-9854-8B122575DEE0}" mentionId="{2E529340-0081-4C09-9DC8-32F9C5E5158F}" startIndex="0" length="22"/>
    </mentions>
  </threadedComment>
  <threadedComment ref="Q1" dT="2023-08-07T08:48:07.69" personId="{05764FF1-BCD9-413D-9C89-9D2805FFA027}" id="{DC35B0D6-A1C6-42E3-9C08-4FA848290BBB}" parentId="{0E8625D5-FF53-4867-9CA0-D5C523FF83ED}">
    <text>De hører vel til produktion og ikke produktinformation</text>
  </threadedComment>
  <threadedComment ref="S1" dT="2023-08-17T17:44:31.91" personId="{1F454351-E73E-4A14-BDD9-F6565DBD4AAA}" id="{A184CECC-CD83-4568-8943-48B8C41D753D}">
    <text xml:space="preserve">Kontonummer bør være henholdsvis 2010 og 2020 idet at PRODUKT sættet er interessant at opgøre kostpriser.  </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4.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709B5-1619-411D-A163-4348EF489E27}">
  <sheetPr codeName="Ark1"/>
  <dimension ref="A1:J37"/>
  <sheetViews>
    <sheetView workbookViewId="0">
      <selection activeCell="F21" sqref="F21"/>
    </sheetView>
  </sheetViews>
  <sheetFormatPr defaultColWidth="9.3046875" defaultRowHeight="15" customHeight="1" x14ac:dyDescent="0.4"/>
  <cols>
    <col min="1" max="1" width="17.921875" style="13" customWidth="1"/>
    <col min="2" max="2" width="25.3828125" style="13" customWidth="1"/>
    <col min="3" max="4" width="15.3828125" style="13" customWidth="1"/>
    <col min="5" max="5" width="16.61328125" style="13" customWidth="1"/>
    <col min="6" max="6" width="25" style="13" customWidth="1"/>
    <col min="7" max="7" width="16.765625" style="13" customWidth="1"/>
    <col min="8" max="10" width="15.3828125" style="13" customWidth="1"/>
    <col min="11" max="16384" width="9.3046875" style="13"/>
  </cols>
  <sheetData>
    <row r="1" spans="1:10" ht="15" customHeight="1" x14ac:dyDescent="0.4">
      <c r="A1" s="23" t="s">
        <v>65</v>
      </c>
      <c r="B1" s="23" t="s">
        <v>2</v>
      </c>
      <c r="C1" s="23" t="s">
        <v>66</v>
      </c>
      <c r="D1" s="23" t="s">
        <v>67</v>
      </c>
      <c r="E1" s="23" t="s">
        <v>68</v>
      </c>
      <c r="F1" s="23" t="s">
        <v>69</v>
      </c>
      <c r="G1" s="23" t="s">
        <v>70</v>
      </c>
      <c r="H1" s="23" t="s">
        <v>71</v>
      </c>
      <c r="I1" s="23" t="s">
        <v>72</v>
      </c>
      <c r="J1" s="23" t="s">
        <v>73</v>
      </c>
    </row>
    <row r="2" spans="1:10" ht="15" customHeight="1" x14ac:dyDescent="0.4">
      <c r="A2" s="22">
        <v>1745</v>
      </c>
      <c r="B2" s="14" t="s">
        <v>74</v>
      </c>
      <c r="C2" s="14">
        <v>25</v>
      </c>
      <c r="D2" s="14" t="s">
        <v>75</v>
      </c>
      <c r="E2" s="14">
        <v>30</v>
      </c>
      <c r="F2" s="14" t="s">
        <v>76</v>
      </c>
      <c r="G2" s="14" t="s">
        <v>77</v>
      </c>
      <c r="H2" s="14" t="s">
        <v>78</v>
      </c>
      <c r="I2" s="14" t="s">
        <v>79</v>
      </c>
      <c r="J2" s="15">
        <v>425000</v>
      </c>
    </row>
    <row r="3" spans="1:10" ht="15" customHeight="1" x14ac:dyDescent="0.4">
      <c r="A3" s="22">
        <f t="shared" ref="A3:A37" si="0">+A2+3</f>
        <v>1748</v>
      </c>
      <c r="B3" s="14" t="s">
        <v>80</v>
      </c>
      <c r="C3" s="14">
        <v>31</v>
      </c>
      <c r="D3" s="14" t="s">
        <v>75</v>
      </c>
      <c r="E3" s="14">
        <v>22</v>
      </c>
      <c r="F3" s="14" t="s">
        <v>76</v>
      </c>
      <c r="G3" s="14" t="s">
        <v>81</v>
      </c>
      <c r="H3" s="14" t="s">
        <v>81</v>
      </c>
      <c r="I3" s="14" t="s">
        <v>82</v>
      </c>
      <c r="J3" s="15">
        <v>425000</v>
      </c>
    </row>
    <row r="4" spans="1:10" ht="15" customHeight="1" x14ac:dyDescent="0.4">
      <c r="A4" s="22">
        <f t="shared" si="0"/>
        <v>1751</v>
      </c>
      <c r="B4" s="14" t="s">
        <v>83</v>
      </c>
      <c r="C4" s="14">
        <v>31</v>
      </c>
      <c r="D4" s="14" t="s">
        <v>75</v>
      </c>
      <c r="E4" s="14">
        <v>23</v>
      </c>
      <c r="F4" s="14" t="s">
        <v>0</v>
      </c>
      <c r="G4" s="14" t="s">
        <v>84</v>
      </c>
      <c r="H4" s="14" t="s">
        <v>85</v>
      </c>
      <c r="I4" s="14" t="s">
        <v>86</v>
      </c>
      <c r="J4" s="15">
        <v>625000</v>
      </c>
    </row>
    <row r="5" spans="1:10" ht="15" customHeight="1" x14ac:dyDescent="0.4">
      <c r="A5" s="22">
        <f t="shared" si="0"/>
        <v>1754</v>
      </c>
      <c r="B5" s="14" t="s">
        <v>87</v>
      </c>
      <c r="C5" s="14">
        <v>29</v>
      </c>
      <c r="D5" s="14" t="s">
        <v>75</v>
      </c>
      <c r="E5" s="14">
        <v>3</v>
      </c>
      <c r="F5" s="14" t="s">
        <v>88</v>
      </c>
      <c r="G5" s="14" t="s">
        <v>81</v>
      </c>
      <c r="H5" s="14" t="s">
        <v>81</v>
      </c>
      <c r="I5" s="14" t="s">
        <v>86</v>
      </c>
      <c r="J5" s="15">
        <v>325000</v>
      </c>
    </row>
    <row r="6" spans="1:10" ht="15" customHeight="1" x14ac:dyDescent="0.4">
      <c r="A6" s="22">
        <f t="shared" si="0"/>
        <v>1757</v>
      </c>
      <c r="B6" s="14" t="s">
        <v>89</v>
      </c>
      <c r="C6" s="14">
        <v>22</v>
      </c>
      <c r="D6" s="14" t="s">
        <v>90</v>
      </c>
      <c r="E6" s="14">
        <v>14</v>
      </c>
      <c r="F6" s="14" t="s">
        <v>88</v>
      </c>
      <c r="G6" s="14" t="s">
        <v>81</v>
      </c>
      <c r="H6" s="14" t="s">
        <v>81</v>
      </c>
      <c r="I6" s="14" t="s">
        <v>91</v>
      </c>
      <c r="J6" s="15">
        <v>325000</v>
      </c>
    </row>
    <row r="7" spans="1:10" ht="15" customHeight="1" x14ac:dyDescent="0.4">
      <c r="A7" s="22">
        <f t="shared" si="0"/>
        <v>1760</v>
      </c>
      <c r="B7" s="14" t="s">
        <v>92</v>
      </c>
      <c r="C7" s="14">
        <v>29</v>
      </c>
      <c r="D7" s="14" t="s">
        <v>90</v>
      </c>
      <c r="E7" s="14">
        <v>23</v>
      </c>
      <c r="F7" s="14" t="s">
        <v>88</v>
      </c>
      <c r="G7" s="14" t="s">
        <v>81</v>
      </c>
      <c r="H7" s="14" t="s">
        <v>81</v>
      </c>
      <c r="I7" s="14" t="s">
        <v>86</v>
      </c>
      <c r="J7" s="15">
        <v>325000</v>
      </c>
    </row>
    <row r="8" spans="1:10" ht="15" customHeight="1" x14ac:dyDescent="0.4">
      <c r="A8" s="22">
        <f t="shared" si="0"/>
        <v>1763</v>
      </c>
      <c r="B8" s="14" t="s">
        <v>93</v>
      </c>
      <c r="C8" s="14">
        <v>33</v>
      </c>
      <c r="D8" s="14" t="s">
        <v>90</v>
      </c>
      <c r="E8" s="14">
        <v>5</v>
      </c>
      <c r="F8" s="14" t="s">
        <v>76</v>
      </c>
      <c r="G8" s="14" t="s">
        <v>81</v>
      </c>
      <c r="H8" s="14" t="s">
        <v>81</v>
      </c>
      <c r="I8" s="14" t="s">
        <v>94</v>
      </c>
      <c r="J8" s="15">
        <v>425000</v>
      </c>
    </row>
    <row r="9" spans="1:10" ht="15" customHeight="1" x14ac:dyDescent="0.4">
      <c r="A9" s="22">
        <f t="shared" si="0"/>
        <v>1766</v>
      </c>
      <c r="B9" s="14" t="s">
        <v>95</v>
      </c>
      <c r="C9" s="14">
        <v>24</v>
      </c>
      <c r="D9" s="14" t="s">
        <v>90</v>
      </c>
      <c r="E9" s="14">
        <v>18</v>
      </c>
      <c r="F9" s="14" t="s">
        <v>0</v>
      </c>
      <c r="G9" s="14" t="s">
        <v>77</v>
      </c>
      <c r="H9" s="14" t="s">
        <v>96</v>
      </c>
      <c r="I9" s="14" t="s">
        <v>94</v>
      </c>
      <c r="J9" s="15">
        <v>625000</v>
      </c>
    </row>
    <row r="10" spans="1:10" ht="15" customHeight="1" x14ac:dyDescent="0.4">
      <c r="A10" s="22">
        <f t="shared" si="0"/>
        <v>1769</v>
      </c>
      <c r="B10" s="14" t="s">
        <v>97</v>
      </c>
      <c r="C10" s="14">
        <v>25</v>
      </c>
      <c r="D10" s="14" t="s">
        <v>75</v>
      </c>
      <c r="E10" s="14">
        <v>30</v>
      </c>
      <c r="F10" s="14" t="s">
        <v>88</v>
      </c>
      <c r="G10" s="14" t="s">
        <v>81</v>
      </c>
      <c r="H10" s="14" t="s">
        <v>81</v>
      </c>
      <c r="I10" s="14" t="s">
        <v>98</v>
      </c>
      <c r="J10" s="15">
        <v>325000</v>
      </c>
    </row>
    <row r="11" spans="1:10" ht="15" customHeight="1" x14ac:dyDescent="0.4">
      <c r="A11" s="22">
        <f t="shared" si="0"/>
        <v>1772</v>
      </c>
      <c r="B11" s="14" t="s">
        <v>99</v>
      </c>
      <c r="C11" s="14">
        <v>33</v>
      </c>
      <c r="D11" s="14" t="s">
        <v>75</v>
      </c>
      <c r="E11" s="14">
        <v>21</v>
      </c>
      <c r="F11" s="14" t="s">
        <v>88</v>
      </c>
      <c r="G11" s="14" t="s">
        <v>81</v>
      </c>
      <c r="H11" s="14" t="s">
        <v>81</v>
      </c>
      <c r="I11" s="14" t="s">
        <v>94</v>
      </c>
      <c r="J11" s="15">
        <v>325000</v>
      </c>
    </row>
    <row r="12" spans="1:10" ht="15" customHeight="1" x14ac:dyDescent="0.4">
      <c r="A12" s="22">
        <f t="shared" si="0"/>
        <v>1775</v>
      </c>
      <c r="B12" s="14" t="s">
        <v>100</v>
      </c>
      <c r="C12" s="14">
        <v>28</v>
      </c>
      <c r="D12" s="14" t="s">
        <v>90</v>
      </c>
      <c r="E12" s="14">
        <v>22</v>
      </c>
      <c r="F12" s="14" t="s">
        <v>88</v>
      </c>
      <c r="G12" s="14" t="s">
        <v>81</v>
      </c>
      <c r="H12" s="14" t="s">
        <v>81</v>
      </c>
      <c r="I12" s="14" t="s">
        <v>94</v>
      </c>
      <c r="J12" s="15">
        <v>325000</v>
      </c>
    </row>
    <row r="13" spans="1:10" ht="15" customHeight="1" x14ac:dyDescent="0.4">
      <c r="A13" s="22">
        <f t="shared" si="0"/>
        <v>1778</v>
      </c>
      <c r="B13" s="14" t="s">
        <v>101</v>
      </c>
      <c r="C13" s="14">
        <v>21</v>
      </c>
      <c r="D13" s="14" t="s">
        <v>75</v>
      </c>
      <c r="E13" s="14">
        <v>6</v>
      </c>
      <c r="F13" s="14" t="s">
        <v>88</v>
      </c>
      <c r="G13" s="14" t="s">
        <v>81</v>
      </c>
      <c r="H13" s="14" t="s">
        <v>81</v>
      </c>
      <c r="I13" s="14" t="s">
        <v>91</v>
      </c>
      <c r="J13" s="15">
        <v>325000</v>
      </c>
    </row>
    <row r="14" spans="1:10" ht="15" customHeight="1" x14ac:dyDescent="0.4">
      <c r="A14" s="22">
        <f t="shared" si="0"/>
        <v>1781</v>
      </c>
      <c r="B14" s="14" t="s">
        <v>102</v>
      </c>
      <c r="C14" s="14">
        <v>20</v>
      </c>
      <c r="D14" s="14" t="s">
        <v>90</v>
      </c>
      <c r="E14" s="14">
        <v>6</v>
      </c>
      <c r="F14" s="14" t="s">
        <v>76</v>
      </c>
      <c r="G14" s="14" t="s">
        <v>81</v>
      </c>
      <c r="H14" s="14" t="s">
        <v>81</v>
      </c>
      <c r="I14" s="14" t="s">
        <v>91</v>
      </c>
      <c r="J14" s="15">
        <v>425000</v>
      </c>
    </row>
    <row r="15" spans="1:10" ht="15" customHeight="1" x14ac:dyDescent="0.4">
      <c r="A15" s="22">
        <f t="shared" si="0"/>
        <v>1784</v>
      </c>
      <c r="B15" s="14" t="s">
        <v>103</v>
      </c>
      <c r="C15" s="14">
        <v>30</v>
      </c>
      <c r="D15" s="14" t="s">
        <v>75</v>
      </c>
      <c r="E15" s="14">
        <v>24</v>
      </c>
      <c r="F15" s="14" t="s">
        <v>88</v>
      </c>
      <c r="G15" s="14" t="s">
        <v>81</v>
      </c>
      <c r="H15" s="14" t="s">
        <v>81</v>
      </c>
      <c r="I15" s="14" t="s">
        <v>94</v>
      </c>
      <c r="J15" s="15">
        <v>325000</v>
      </c>
    </row>
    <row r="16" spans="1:10" ht="15" customHeight="1" x14ac:dyDescent="0.4">
      <c r="A16" s="22">
        <f t="shared" si="0"/>
        <v>1787</v>
      </c>
      <c r="B16" s="14" t="s">
        <v>104</v>
      </c>
      <c r="C16" s="14">
        <v>23</v>
      </c>
      <c r="D16" s="14" t="s">
        <v>75</v>
      </c>
      <c r="E16" s="14">
        <v>30</v>
      </c>
      <c r="F16" s="14" t="s">
        <v>88</v>
      </c>
      <c r="G16" s="14" t="s">
        <v>81</v>
      </c>
      <c r="H16" s="14" t="s">
        <v>81</v>
      </c>
      <c r="I16" s="14" t="s">
        <v>91</v>
      </c>
      <c r="J16" s="15">
        <v>325000</v>
      </c>
    </row>
    <row r="17" spans="1:10" ht="15" customHeight="1" x14ac:dyDescent="0.4">
      <c r="A17" s="22">
        <f t="shared" si="0"/>
        <v>1790</v>
      </c>
      <c r="B17" s="14" t="s">
        <v>105</v>
      </c>
      <c r="C17" s="14">
        <v>26</v>
      </c>
      <c r="D17" s="14" t="s">
        <v>75</v>
      </c>
      <c r="E17" s="14">
        <v>9</v>
      </c>
      <c r="F17" s="14" t="s">
        <v>76</v>
      </c>
      <c r="G17" s="14" t="s">
        <v>81</v>
      </c>
      <c r="H17" s="14" t="s">
        <v>81</v>
      </c>
      <c r="I17" s="14" t="s">
        <v>106</v>
      </c>
      <c r="J17" s="15">
        <v>425000</v>
      </c>
    </row>
    <row r="18" spans="1:10" ht="15" customHeight="1" x14ac:dyDescent="0.4">
      <c r="A18" s="22">
        <f t="shared" si="0"/>
        <v>1793</v>
      </c>
      <c r="B18" s="14" t="s">
        <v>107</v>
      </c>
      <c r="C18" s="14">
        <v>21</v>
      </c>
      <c r="D18" s="14" t="s">
        <v>75</v>
      </c>
      <c r="E18" s="14">
        <v>6</v>
      </c>
      <c r="F18" s="14" t="s">
        <v>88</v>
      </c>
      <c r="G18" s="14" t="s">
        <v>81</v>
      </c>
      <c r="H18" s="14" t="s">
        <v>81</v>
      </c>
      <c r="I18" s="14" t="s">
        <v>91</v>
      </c>
      <c r="J18" s="15">
        <v>325000</v>
      </c>
    </row>
    <row r="19" spans="1:10" ht="15" customHeight="1" x14ac:dyDescent="0.4">
      <c r="A19" s="22">
        <f t="shared" si="0"/>
        <v>1796</v>
      </c>
      <c r="B19" s="14" t="s">
        <v>108</v>
      </c>
      <c r="C19" s="14">
        <v>25</v>
      </c>
      <c r="D19" s="14" t="s">
        <v>75</v>
      </c>
      <c r="E19" s="14">
        <v>36</v>
      </c>
      <c r="F19" s="14" t="s">
        <v>0</v>
      </c>
      <c r="G19" s="14" t="s">
        <v>77</v>
      </c>
      <c r="H19" s="14" t="s">
        <v>109</v>
      </c>
      <c r="I19" s="14" t="s">
        <v>79</v>
      </c>
      <c r="J19" s="15">
        <v>625000</v>
      </c>
    </row>
    <row r="20" spans="1:10" ht="15" customHeight="1" x14ac:dyDescent="0.4">
      <c r="A20" s="22">
        <f t="shared" si="0"/>
        <v>1799</v>
      </c>
      <c r="B20" s="14" t="s">
        <v>110</v>
      </c>
      <c r="C20" s="14">
        <v>25</v>
      </c>
      <c r="D20" s="14" t="s">
        <v>75</v>
      </c>
      <c r="E20" s="14">
        <v>22</v>
      </c>
      <c r="F20" s="14" t="s">
        <v>76</v>
      </c>
      <c r="G20" s="14" t="s">
        <v>81</v>
      </c>
      <c r="H20" s="14" t="s">
        <v>81</v>
      </c>
      <c r="I20" s="14" t="s">
        <v>94</v>
      </c>
      <c r="J20" s="15">
        <v>425000</v>
      </c>
    </row>
    <row r="21" spans="1:10" ht="15" customHeight="1" x14ac:dyDescent="0.4">
      <c r="A21" s="22">
        <f t="shared" si="0"/>
        <v>1802</v>
      </c>
      <c r="B21" s="14" t="s">
        <v>111</v>
      </c>
      <c r="C21" s="14">
        <v>28</v>
      </c>
      <c r="D21" s="14" t="s">
        <v>90</v>
      </c>
      <c r="E21" s="14">
        <v>14</v>
      </c>
      <c r="F21" s="14" t="s">
        <v>88</v>
      </c>
      <c r="G21" s="14" t="s">
        <v>81</v>
      </c>
      <c r="H21" s="14" t="s">
        <v>81</v>
      </c>
      <c r="I21" s="14" t="s">
        <v>94</v>
      </c>
      <c r="J21" s="15">
        <v>325000</v>
      </c>
    </row>
    <row r="22" spans="1:10" ht="15" customHeight="1" x14ac:dyDescent="0.4">
      <c r="A22" s="22">
        <f t="shared" si="0"/>
        <v>1805</v>
      </c>
      <c r="B22" s="14" t="s">
        <v>112</v>
      </c>
      <c r="C22" s="14">
        <v>32</v>
      </c>
      <c r="D22" s="14" t="s">
        <v>90</v>
      </c>
      <c r="E22" s="14">
        <v>31</v>
      </c>
      <c r="F22" s="14" t="s">
        <v>0</v>
      </c>
      <c r="G22" s="14" t="s">
        <v>84</v>
      </c>
      <c r="H22" s="14" t="s">
        <v>113</v>
      </c>
      <c r="I22" s="14" t="s">
        <v>82</v>
      </c>
      <c r="J22" s="15">
        <v>625000</v>
      </c>
    </row>
    <row r="23" spans="1:10" ht="15" customHeight="1" x14ac:dyDescent="0.4">
      <c r="A23" s="22">
        <f t="shared" si="0"/>
        <v>1808</v>
      </c>
      <c r="B23" s="14" t="s">
        <v>114</v>
      </c>
      <c r="C23" s="14">
        <v>30</v>
      </c>
      <c r="D23" s="14" t="s">
        <v>90</v>
      </c>
      <c r="E23" s="14">
        <v>14</v>
      </c>
      <c r="F23" s="14" t="s">
        <v>88</v>
      </c>
      <c r="G23" s="14" t="s">
        <v>81</v>
      </c>
      <c r="H23" s="14" t="s">
        <v>81</v>
      </c>
      <c r="I23" s="14" t="s">
        <v>94</v>
      </c>
      <c r="J23" s="15">
        <v>325000</v>
      </c>
    </row>
    <row r="24" spans="1:10" ht="15" customHeight="1" x14ac:dyDescent="0.4">
      <c r="A24" s="22">
        <f t="shared" si="0"/>
        <v>1811</v>
      </c>
      <c r="B24" s="14" t="s">
        <v>115</v>
      </c>
      <c r="C24" s="14">
        <v>33</v>
      </c>
      <c r="D24" s="14" t="s">
        <v>90</v>
      </c>
      <c r="E24" s="14">
        <v>15</v>
      </c>
      <c r="F24" s="14" t="s">
        <v>88</v>
      </c>
      <c r="G24" s="14" t="s">
        <v>81</v>
      </c>
      <c r="H24" s="14" t="s">
        <v>81</v>
      </c>
      <c r="I24" s="14" t="s">
        <v>82</v>
      </c>
      <c r="J24" s="15">
        <v>325000</v>
      </c>
    </row>
    <row r="25" spans="1:10" ht="15" customHeight="1" x14ac:dyDescent="0.4">
      <c r="A25" s="22">
        <f t="shared" si="0"/>
        <v>1814</v>
      </c>
      <c r="B25" s="14" t="s">
        <v>116</v>
      </c>
      <c r="C25" s="14">
        <v>31</v>
      </c>
      <c r="D25" s="14" t="s">
        <v>75</v>
      </c>
      <c r="E25" s="14">
        <v>11</v>
      </c>
      <c r="F25" s="14" t="s">
        <v>76</v>
      </c>
      <c r="G25" s="14" t="s">
        <v>77</v>
      </c>
      <c r="H25" s="14" t="s">
        <v>117</v>
      </c>
      <c r="I25" s="14" t="s">
        <v>98</v>
      </c>
      <c r="J25" s="15">
        <v>425000</v>
      </c>
    </row>
    <row r="26" spans="1:10" ht="15" customHeight="1" x14ac:dyDescent="0.4">
      <c r="A26" s="22">
        <f t="shared" si="0"/>
        <v>1817</v>
      </c>
      <c r="B26" s="14" t="s">
        <v>118</v>
      </c>
      <c r="C26" s="14">
        <v>27</v>
      </c>
      <c r="D26" s="14" t="s">
        <v>90</v>
      </c>
      <c r="E26" s="14">
        <v>34</v>
      </c>
      <c r="F26" s="14" t="s">
        <v>76</v>
      </c>
      <c r="G26" s="14" t="s">
        <v>81</v>
      </c>
      <c r="H26" s="14" t="s">
        <v>81</v>
      </c>
      <c r="I26" s="14" t="s">
        <v>98</v>
      </c>
      <c r="J26" s="15">
        <v>425000</v>
      </c>
    </row>
    <row r="27" spans="1:10" ht="15" customHeight="1" x14ac:dyDescent="0.4">
      <c r="A27" s="22">
        <f t="shared" si="0"/>
        <v>1820</v>
      </c>
      <c r="B27" s="14" t="s">
        <v>119</v>
      </c>
      <c r="C27" s="14">
        <v>30</v>
      </c>
      <c r="D27" s="14" t="s">
        <v>90</v>
      </c>
      <c r="E27" s="14">
        <v>23</v>
      </c>
      <c r="F27" s="14" t="s">
        <v>88</v>
      </c>
      <c r="G27" s="14" t="s">
        <v>81</v>
      </c>
      <c r="H27" s="14" t="s">
        <v>81</v>
      </c>
      <c r="I27" s="14" t="s">
        <v>94</v>
      </c>
      <c r="J27" s="15">
        <v>325000</v>
      </c>
    </row>
    <row r="28" spans="1:10" ht="14.6" x14ac:dyDescent="0.4">
      <c r="A28" s="22">
        <f t="shared" si="0"/>
        <v>1823</v>
      </c>
      <c r="B28" s="14" t="s">
        <v>120</v>
      </c>
      <c r="C28" s="14">
        <v>27</v>
      </c>
      <c r="D28" s="14" t="s">
        <v>90</v>
      </c>
      <c r="E28" s="14">
        <v>13</v>
      </c>
      <c r="F28" s="14" t="s">
        <v>76</v>
      </c>
      <c r="G28" s="14" t="s">
        <v>77</v>
      </c>
      <c r="H28" s="14" t="s">
        <v>121</v>
      </c>
      <c r="I28" s="14" t="s">
        <v>106</v>
      </c>
      <c r="J28" s="15">
        <v>425000</v>
      </c>
    </row>
    <row r="29" spans="1:10" ht="14.6" x14ac:dyDescent="0.4">
      <c r="A29" s="22">
        <f t="shared" si="0"/>
        <v>1826</v>
      </c>
      <c r="B29" s="14" t="s">
        <v>122</v>
      </c>
      <c r="C29" s="14">
        <v>24</v>
      </c>
      <c r="D29" s="14" t="s">
        <v>75</v>
      </c>
      <c r="E29" s="14">
        <v>18</v>
      </c>
      <c r="F29" s="14" t="s">
        <v>76</v>
      </c>
      <c r="G29" s="14" t="s">
        <v>81</v>
      </c>
      <c r="H29" s="14" t="s">
        <v>81</v>
      </c>
      <c r="I29" s="14" t="s">
        <v>94</v>
      </c>
      <c r="J29" s="15">
        <v>425000</v>
      </c>
    </row>
    <row r="30" spans="1:10" ht="14.6" x14ac:dyDescent="0.4">
      <c r="A30" s="22">
        <f t="shared" si="0"/>
        <v>1829</v>
      </c>
      <c r="B30" s="14" t="s">
        <v>123</v>
      </c>
      <c r="C30" s="14">
        <v>32</v>
      </c>
      <c r="D30" s="14" t="s">
        <v>90</v>
      </c>
      <c r="E30" s="14">
        <v>17</v>
      </c>
      <c r="F30" s="14" t="s">
        <v>88</v>
      </c>
      <c r="G30" s="14" t="s">
        <v>81</v>
      </c>
      <c r="H30" s="14" t="s">
        <v>81</v>
      </c>
      <c r="I30" s="14" t="s">
        <v>82</v>
      </c>
      <c r="J30" s="15">
        <v>325000</v>
      </c>
    </row>
    <row r="31" spans="1:10" ht="14.6" x14ac:dyDescent="0.4">
      <c r="A31" s="22">
        <f t="shared" si="0"/>
        <v>1832</v>
      </c>
      <c r="B31" s="14" t="s">
        <v>124</v>
      </c>
      <c r="C31" s="14">
        <v>24</v>
      </c>
      <c r="D31" s="14" t="s">
        <v>90</v>
      </c>
      <c r="E31" s="14">
        <v>18</v>
      </c>
      <c r="F31" s="14" t="s">
        <v>88</v>
      </c>
      <c r="G31" s="14" t="s">
        <v>81</v>
      </c>
      <c r="H31" s="14" t="s">
        <v>81</v>
      </c>
      <c r="I31" s="14" t="s">
        <v>94</v>
      </c>
      <c r="J31" s="15">
        <v>325000</v>
      </c>
    </row>
    <row r="32" spans="1:10" ht="14.6" x14ac:dyDescent="0.4">
      <c r="A32" s="22">
        <f t="shared" si="0"/>
        <v>1835</v>
      </c>
      <c r="B32" s="14" t="s">
        <v>125</v>
      </c>
      <c r="C32" s="14">
        <v>20</v>
      </c>
      <c r="D32" s="14" t="s">
        <v>75</v>
      </c>
      <c r="E32" s="14">
        <v>6</v>
      </c>
      <c r="F32" s="14" t="s">
        <v>88</v>
      </c>
      <c r="G32" s="14" t="s">
        <v>81</v>
      </c>
      <c r="H32" s="14" t="s">
        <v>81</v>
      </c>
      <c r="I32" s="14" t="s">
        <v>91</v>
      </c>
      <c r="J32" s="15">
        <v>325000</v>
      </c>
    </row>
    <row r="33" spans="1:10" ht="14.6" x14ac:dyDescent="0.4">
      <c r="A33" s="22">
        <f t="shared" si="0"/>
        <v>1838</v>
      </c>
      <c r="B33" s="14" t="s">
        <v>126</v>
      </c>
      <c r="C33" s="14">
        <v>23</v>
      </c>
      <c r="D33" s="14" t="s">
        <v>75</v>
      </c>
      <c r="E33" s="14">
        <v>14</v>
      </c>
      <c r="F33" s="14" t="s">
        <v>0</v>
      </c>
      <c r="G33" s="14" t="s">
        <v>84</v>
      </c>
      <c r="H33" s="14" t="s">
        <v>127</v>
      </c>
      <c r="I33" s="14" t="s">
        <v>91</v>
      </c>
      <c r="J33" s="15">
        <v>625000</v>
      </c>
    </row>
    <row r="34" spans="1:10" ht="14.6" x14ac:dyDescent="0.4">
      <c r="A34" s="22">
        <f t="shared" si="0"/>
        <v>1841</v>
      </c>
      <c r="B34" s="14" t="s">
        <v>128</v>
      </c>
      <c r="C34" s="14">
        <v>21</v>
      </c>
      <c r="D34" s="14" t="s">
        <v>75</v>
      </c>
      <c r="E34" s="14">
        <v>6</v>
      </c>
      <c r="F34" s="14" t="s">
        <v>76</v>
      </c>
      <c r="G34" s="14" t="s">
        <v>81</v>
      </c>
      <c r="H34" s="14" t="s">
        <v>81</v>
      </c>
      <c r="I34" s="14" t="s">
        <v>91</v>
      </c>
      <c r="J34" s="15">
        <v>425000</v>
      </c>
    </row>
    <row r="35" spans="1:10" ht="14.6" x14ac:dyDescent="0.4">
      <c r="A35" s="22">
        <f t="shared" si="0"/>
        <v>1844</v>
      </c>
      <c r="B35" s="14" t="s">
        <v>129</v>
      </c>
      <c r="C35" s="14">
        <v>29</v>
      </c>
      <c r="D35" s="14" t="s">
        <v>90</v>
      </c>
      <c r="E35" s="14">
        <v>36</v>
      </c>
      <c r="F35" s="14" t="s">
        <v>0</v>
      </c>
      <c r="G35" s="14" t="s">
        <v>77</v>
      </c>
      <c r="H35" s="14" t="s">
        <v>130</v>
      </c>
      <c r="I35" s="14" t="s">
        <v>79</v>
      </c>
      <c r="J35" s="15">
        <v>625000</v>
      </c>
    </row>
    <row r="36" spans="1:10" ht="14.6" x14ac:dyDescent="0.4">
      <c r="A36" s="22">
        <f t="shared" si="0"/>
        <v>1847</v>
      </c>
      <c r="B36" s="14" t="s">
        <v>131</v>
      </c>
      <c r="C36" s="14">
        <v>26</v>
      </c>
      <c r="D36" s="14" t="s">
        <v>90</v>
      </c>
      <c r="E36" s="14">
        <v>22</v>
      </c>
      <c r="F36" s="14" t="s">
        <v>88</v>
      </c>
      <c r="G36" s="14" t="s">
        <v>81</v>
      </c>
      <c r="H36" s="14" t="s">
        <v>81</v>
      </c>
      <c r="I36" s="14" t="s">
        <v>94</v>
      </c>
      <c r="J36" s="15">
        <v>325000</v>
      </c>
    </row>
    <row r="37" spans="1:10" ht="14.6" x14ac:dyDescent="0.4">
      <c r="A37" s="22">
        <f t="shared" si="0"/>
        <v>1850</v>
      </c>
      <c r="B37" s="14" t="s">
        <v>132</v>
      </c>
      <c r="C37" s="14">
        <v>28</v>
      </c>
      <c r="D37" s="14" t="s">
        <v>90</v>
      </c>
      <c r="E37" s="14">
        <v>33</v>
      </c>
      <c r="F37" s="14" t="s">
        <v>76</v>
      </c>
      <c r="G37" s="14" t="s">
        <v>81</v>
      </c>
      <c r="H37" s="14" t="s">
        <v>81</v>
      </c>
      <c r="I37" s="14" t="s">
        <v>98</v>
      </c>
      <c r="J37" s="15">
        <v>425000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CD77E0-2C0F-4F7A-9543-38BD5F687064}">
  <sheetPr codeName="Ark2"/>
  <dimension ref="A1:P90"/>
  <sheetViews>
    <sheetView tabSelected="1" topLeftCell="A44" workbookViewId="0">
      <selection activeCell="A81" sqref="A81"/>
    </sheetView>
  </sheetViews>
  <sheetFormatPr defaultColWidth="8.84375" defaultRowHeight="15" customHeight="1" x14ac:dyDescent="0.4"/>
  <cols>
    <col min="1" max="1" width="19.3828125" customWidth="1"/>
    <col min="3" max="3" width="11.3046875" bestFit="1" customWidth="1"/>
    <col min="4" max="4" width="17.15234375" bestFit="1" customWidth="1"/>
    <col min="5" max="5" width="12.84375" style="21" customWidth="1"/>
    <col min="6" max="6" width="13.3828125" customWidth="1"/>
    <col min="7" max="7" width="13" bestFit="1" customWidth="1"/>
    <col min="8" max="8" width="33.15234375" bestFit="1" customWidth="1"/>
    <col min="9" max="9" width="16" customWidth="1"/>
    <col min="10" max="10" width="15.3046875" customWidth="1"/>
    <col min="11" max="11" width="14.3828125" customWidth="1"/>
    <col min="12" max="12" width="15.3828125" customWidth="1"/>
    <col min="13" max="13" width="11.53515625" customWidth="1"/>
    <col min="14" max="14" width="14" customWidth="1"/>
    <col min="15" max="15" width="32.921875" customWidth="1"/>
    <col min="16" max="16" width="25.3046875" customWidth="1"/>
  </cols>
  <sheetData>
    <row r="1" spans="1:16" ht="14.6" x14ac:dyDescent="0.4">
      <c r="A1" s="16" t="s">
        <v>4</v>
      </c>
      <c r="B1" s="16" t="s">
        <v>2</v>
      </c>
      <c r="C1" s="16" t="s">
        <v>141</v>
      </c>
      <c r="D1" s="16" t="s">
        <v>142</v>
      </c>
      <c r="E1" s="19" t="s">
        <v>143</v>
      </c>
      <c r="F1" s="16" t="s">
        <v>144</v>
      </c>
      <c r="G1" s="16" t="s">
        <v>145</v>
      </c>
      <c r="H1" s="16" t="s">
        <v>146</v>
      </c>
      <c r="I1" s="16" t="s">
        <v>147</v>
      </c>
      <c r="J1" s="16" t="s">
        <v>148</v>
      </c>
      <c r="K1" s="16" t="s">
        <v>67</v>
      </c>
      <c r="L1" s="16" t="s">
        <v>149</v>
      </c>
      <c r="M1" s="16" t="s">
        <v>150</v>
      </c>
      <c r="N1" s="16" t="s">
        <v>151</v>
      </c>
      <c r="O1" s="16" t="s">
        <v>152</v>
      </c>
      <c r="P1" s="16" t="s">
        <v>153</v>
      </c>
    </row>
    <row r="2" spans="1:16" ht="15.9" x14ac:dyDescent="0.45">
      <c r="A2" s="18">
        <v>1001</v>
      </c>
      <c r="B2" s="18" t="s">
        <v>154</v>
      </c>
      <c r="C2" s="18" t="s">
        <v>155</v>
      </c>
      <c r="D2" s="18" t="s">
        <v>156</v>
      </c>
      <c r="E2" s="20" t="s">
        <v>157</v>
      </c>
      <c r="F2" s="18">
        <v>4200</v>
      </c>
      <c r="G2" s="18" t="s">
        <v>158</v>
      </c>
      <c r="H2" s="18" t="s">
        <v>159</v>
      </c>
      <c r="I2" s="18">
        <v>12345678</v>
      </c>
      <c r="J2" s="18" t="s">
        <v>160</v>
      </c>
      <c r="K2" s="18"/>
      <c r="L2" s="18"/>
    </row>
    <row r="3" spans="1:16" ht="15" customHeight="1" x14ac:dyDescent="0.45">
      <c r="A3" s="18">
        <v>1002</v>
      </c>
      <c r="B3" s="18" t="s">
        <v>161</v>
      </c>
      <c r="C3" s="18" t="s">
        <v>162</v>
      </c>
      <c r="D3" s="18" t="s">
        <v>163</v>
      </c>
      <c r="E3" s="20" t="s">
        <v>164</v>
      </c>
      <c r="F3" s="18">
        <v>4100</v>
      </c>
      <c r="G3" s="18" t="s">
        <v>165</v>
      </c>
      <c r="H3" s="18" t="s">
        <v>166</v>
      </c>
      <c r="I3" s="18">
        <v>23456789</v>
      </c>
      <c r="J3" s="18" t="s">
        <v>167</v>
      </c>
      <c r="K3" s="18" t="s">
        <v>90</v>
      </c>
      <c r="L3" s="18" t="s">
        <v>168</v>
      </c>
      <c r="M3" t="s">
        <v>169</v>
      </c>
      <c r="N3" t="s">
        <v>170</v>
      </c>
      <c r="O3" t="s">
        <v>171</v>
      </c>
    </row>
    <row r="4" spans="1:16" ht="15" customHeight="1" x14ac:dyDescent="0.45">
      <c r="A4" s="18">
        <v>1003</v>
      </c>
      <c r="B4" s="18" t="s">
        <v>172</v>
      </c>
      <c r="C4" s="18" t="s">
        <v>173</v>
      </c>
      <c r="D4" s="18" t="s">
        <v>174</v>
      </c>
      <c r="E4" s="20" t="s">
        <v>175</v>
      </c>
      <c r="F4" s="18">
        <v>4000</v>
      </c>
      <c r="G4" s="18" t="s">
        <v>176</v>
      </c>
      <c r="H4" s="18" t="s">
        <v>177</v>
      </c>
      <c r="I4" s="18">
        <v>34567890</v>
      </c>
      <c r="J4" s="18" t="s">
        <v>160</v>
      </c>
      <c r="K4" s="18"/>
      <c r="L4" s="18"/>
    </row>
    <row r="5" spans="1:16" ht="15" customHeight="1" x14ac:dyDescent="0.45">
      <c r="A5" s="18">
        <v>1101</v>
      </c>
      <c r="B5" s="18" t="s">
        <v>199</v>
      </c>
      <c r="C5" s="18" t="s">
        <v>214</v>
      </c>
      <c r="D5" s="18" t="s">
        <v>226</v>
      </c>
      <c r="E5" s="20">
        <v>17</v>
      </c>
      <c r="F5" s="18">
        <v>2200</v>
      </c>
      <c r="G5" s="18" t="s">
        <v>181</v>
      </c>
      <c r="H5" s="18" t="s">
        <v>263</v>
      </c>
      <c r="I5" s="18">
        <v>23456789</v>
      </c>
      <c r="J5" s="18" t="s">
        <v>160</v>
      </c>
      <c r="K5" s="18"/>
      <c r="L5" s="18"/>
    </row>
    <row r="6" spans="1:16" ht="15" customHeight="1" x14ac:dyDescent="0.45">
      <c r="A6" s="18">
        <v>1102</v>
      </c>
      <c r="B6" s="18" t="s">
        <v>203</v>
      </c>
      <c r="C6" s="18" t="s">
        <v>219</v>
      </c>
      <c r="D6" s="18" t="s">
        <v>220</v>
      </c>
      <c r="E6" s="20">
        <v>34</v>
      </c>
      <c r="F6" s="18">
        <v>1620</v>
      </c>
      <c r="G6" s="18" t="s">
        <v>181</v>
      </c>
      <c r="H6" s="18" t="s">
        <v>264</v>
      </c>
      <c r="I6" s="18">
        <v>34567890</v>
      </c>
      <c r="J6" s="18" t="s">
        <v>167</v>
      </c>
      <c r="K6" s="18" t="s">
        <v>75</v>
      </c>
      <c r="L6" s="18" t="s">
        <v>252</v>
      </c>
      <c r="M6" t="s">
        <v>184</v>
      </c>
      <c r="N6" t="s">
        <v>170</v>
      </c>
      <c r="O6" t="s">
        <v>171</v>
      </c>
    </row>
    <row r="7" spans="1:16" ht="15" customHeight="1" x14ac:dyDescent="0.45">
      <c r="A7" s="18">
        <v>1103</v>
      </c>
      <c r="B7" s="18" t="s">
        <v>209</v>
      </c>
      <c r="C7" s="18" t="s">
        <v>223</v>
      </c>
      <c r="D7" s="18" t="s">
        <v>211</v>
      </c>
      <c r="E7" s="20">
        <v>45</v>
      </c>
      <c r="F7" s="18">
        <v>2100</v>
      </c>
      <c r="G7" s="18" t="s">
        <v>181</v>
      </c>
      <c r="H7" s="18" t="s">
        <v>265</v>
      </c>
      <c r="I7" s="18">
        <v>45678901</v>
      </c>
      <c r="J7" s="18" t="s">
        <v>160</v>
      </c>
      <c r="K7" s="18"/>
      <c r="L7" s="18"/>
    </row>
    <row r="8" spans="1:16" ht="15" customHeight="1" x14ac:dyDescent="0.45">
      <c r="A8" s="18">
        <v>1104</v>
      </c>
      <c r="B8" s="18" t="s">
        <v>154</v>
      </c>
      <c r="C8" s="18" t="s">
        <v>189</v>
      </c>
      <c r="D8" s="18" t="s">
        <v>190</v>
      </c>
      <c r="E8" s="20">
        <v>8</v>
      </c>
      <c r="F8" s="18">
        <v>2300</v>
      </c>
      <c r="G8" s="18" t="s">
        <v>181</v>
      </c>
      <c r="H8" s="18" t="s">
        <v>266</v>
      </c>
      <c r="I8" s="18">
        <v>56789012</v>
      </c>
      <c r="J8" s="18" t="s">
        <v>160</v>
      </c>
      <c r="K8" s="18"/>
      <c r="L8" s="18"/>
    </row>
    <row r="9" spans="1:16" ht="15" customHeight="1" x14ac:dyDescent="0.45">
      <c r="A9" s="18">
        <v>1105</v>
      </c>
      <c r="B9" s="18" t="s">
        <v>218</v>
      </c>
      <c r="C9" s="18" t="s">
        <v>204</v>
      </c>
      <c r="D9" s="18" t="s">
        <v>205</v>
      </c>
      <c r="E9" s="20">
        <v>32</v>
      </c>
      <c r="F9" s="18">
        <v>2000</v>
      </c>
      <c r="G9" s="18" t="s">
        <v>181</v>
      </c>
      <c r="H9" s="18" t="s">
        <v>267</v>
      </c>
      <c r="I9" s="18">
        <v>67890123</v>
      </c>
      <c r="J9" s="18" t="s">
        <v>160</v>
      </c>
      <c r="K9" s="18"/>
      <c r="L9" s="18"/>
    </row>
    <row r="10" spans="1:16" ht="15" customHeight="1" x14ac:dyDescent="0.45">
      <c r="A10" s="18">
        <v>1106</v>
      </c>
      <c r="B10" s="18" t="s">
        <v>249</v>
      </c>
      <c r="C10" s="18" t="s">
        <v>195</v>
      </c>
      <c r="D10" s="18" t="s">
        <v>235</v>
      </c>
      <c r="E10" s="20">
        <v>13</v>
      </c>
      <c r="F10" s="18">
        <v>2300</v>
      </c>
      <c r="G10" s="18" t="s">
        <v>181</v>
      </c>
      <c r="H10" s="18" t="s">
        <v>268</v>
      </c>
      <c r="I10" s="18">
        <v>78901234</v>
      </c>
      <c r="J10" s="18" t="s">
        <v>167</v>
      </c>
      <c r="K10" s="18" t="s">
        <v>75</v>
      </c>
      <c r="L10" s="18" t="s">
        <v>207</v>
      </c>
      <c r="M10" t="s">
        <v>169</v>
      </c>
      <c r="N10" t="s">
        <v>170</v>
      </c>
      <c r="O10" t="s">
        <v>171</v>
      </c>
    </row>
    <row r="11" spans="1:16" ht="15" customHeight="1" x14ac:dyDescent="0.45">
      <c r="A11" s="18">
        <v>1107</v>
      </c>
      <c r="B11" s="18" t="s">
        <v>222</v>
      </c>
      <c r="C11" s="18" t="s">
        <v>210</v>
      </c>
      <c r="D11" s="18" t="s">
        <v>211</v>
      </c>
      <c r="E11" s="20">
        <v>67</v>
      </c>
      <c r="F11" s="18">
        <v>2100</v>
      </c>
      <c r="G11" s="18" t="s">
        <v>181</v>
      </c>
      <c r="H11" s="18" t="s">
        <v>269</v>
      </c>
      <c r="I11" s="18">
        <v>89012345</v>
      </c>
      <c r="J11" s="18" t="s">
        <v>167</v>
      </c>
      <c r="K11" s="18" t="s">
        <v>75</v>
      </c>
      <c r="L11" s="18" t="s">
        <v>213</v>
      </c>
      <c r="M11" t="s">
        <v>169</v>
      </c>
      <c r="N11" t="s">
        <v>170</v>
      </c>
      <c r="O11" t="s">
        <v>171</v>
      </c>
    </row>
    <row r="12" spans="1:16" ht="15" customHeight="1" x14ac:dyDescent="0.45">
      <c r="A12" s="18">
        <v>1108</v>
      </c>
      <c r="B12" s="18" t="s">
        <v>270</v>
      </c>
      <c r="C12" s="18" t="s">
        <v>261</v>
      </c>
      <c r="D12" s="18" t="s">
        <v>190</v>
      </c>
      <c r="E12" s="20">
        <v>12</v>
      </c>
      <c r="F12" s="18">
        <v>2300</v>
      </c>
      <c r="G12" s="18" t="s">
        <v>181</v>
      </c>
      <c r="H12" s="18" t="s">
        <v>271</v>
      </c>
      <c r="I12" s="18">
        <v>90123456</v>
      </c>
      <c r="J12" s="18" t="s">
        <v>160</v>
      </c>
      <c r="K12" s="18"/>
      <c r="L12" s="18"/>
    </row>
    <row r="13" spans="1:16" ht="15" customHeight="1" x14ac:dyDescent="0.45">
      <c r="A13" s="18">
        <v>1109</v>
      </c>
      <c r="B13" s="18" t="s">
        <v>272</v>
      </c>
      <c r="C13" s="18" t="s">
        <v>155</v>
      </c>
      <c r="D13" s="18" t="s">
        <v>186</v>
      </c>
      <c r="E13" s="20">
        <v>21</v>
      </c>
      <c r="F13" s="18">
        <v>1001</v>
      </c>
      <c r="G13" s="18" t="s">
        <v>181</v>
      </c>
      <c r="H13" s="18" t="s">
        <v>273</v>
      </c>
      <c r="I13" s="18">
        <v>12345678</v>
      </c>
      <c r="J13" s="18" t="s">
        <v>160</v>
      </c>
      <c r="K13" s="18"/>
      <c r="L13" s="18"/>
    </row>
    <row r="14" spans="1:16" ht="15" customHeight="1" x14ac:dyDescent="0.45">
      <c r="A14" s="18">
        <v>1110</v>
      </c>
      <c r="B14" s="18" t="s">
        <v>274</v>
      </c>
      <c r="C14" s="18" t="s">
        <v>162</v>
      </c>
      <c r="D14" s="18" t="s">
        <v>215</v>
      </c>
      <c r="E14" s="20">
        <v>14</v>
      </c>
      <c r="F14" s="18">
        <v>2200</v>
      </c>
      <c r="G14" s="18" t="s">
        <v>181</v>
      </c>
      <c r="H14" s="18" t="s">
        <v>275</v>
      </c>
      <c r="I14" s="18">
        <v>23456789</v>
      </c>
      <c r="J14" s="18" t="s">
        <v>167</v>
      </c>
      <c r="K14" s="18" t="s">
        <v>75</v>
      </c>
      <c r="L14" s="18" t="s">
        <v>192</v>
      </c>
      <c r="M14" t="s">
        <v>184</v>
      </c>
      <c r="N14" t="s">
        <v>193</v>
      </c>
      <c r="O14" t="s">
        <v>171</v>
      </c>
    </row>
    <row r="15" spans="1:16" ht="15" customHeight="1" x14ac:dyDescent="0.45">
      <c r="A15" s="18">
        <v>1111</v>
      </c>
      <c r="B15" s="18" t="s">
        <v>178</v>
      </c>
      <c r="C15" s="18" t="s">
        <v>179</v>
      </c>
      <c r="D15" s="18" t="s">
        <v>180</v>
      </c>
      <c r="E15" s="20">
        <v>89</v>
      </c>
      <c r="F15" s="18">
        <v>1620</v>
      </c>
      <c r="G15" s="18" t="s">
        <v>181</v>
      </c>
      <c r="H15" s="18" t="s">
        <v>182</v>
      </c>
      <c r="I15" s="18">
        <v>34567890</v>
      </c>
      <c r="J15" s="18" t="s">
        <v>167</v>
      </c>
      <c r="K15" s="18" t="s">
        <v>75</v>
      </c>
      <c r="L15" s="18" t="s">
        <v>183</v>
      </c>
      <c r="M15" t="s">
        <v>184</v>
      </c>
      <c r="N15" t="s">
        <v>170</v>
      </c>
      <c r="O15" t="s">
        <v>171</v>
      </c>
    </row>
    <row r="16" spans="1:16" ht="15" customHeight="1" x14ac:dyDescent="0.45">
      <c r="A16" s="18">
        <v>1112</v>
      </c>
      <c r="B16" s="18" t="s">
        <v>185</v>
      </c>
      <c r="C16" s="18" t="s">
        <v>173</v>
      </c>
      <c r="D16" s="18" t="s">
        <v>186</v>
      </c>
      <c r="E16" s="20">
        <v>7</v>
      </c>
      <c r="F16" s="18">
        <v>1001</v>
      </c>
      <c r="G16" s="18" t="s">
        <v>181</v>
      </c>
      <c r="H16" s="18" t="s">
        <v>187</v>
      </c>
      <c r="I16" s="18">
        <v>45678901</v>
      </c>
      <c r="J16" s="18" t="s">
        <v>160</v>
      </c>
      <c r="K16" s="18"/>
      <c r="L16" s="18"/>
    </row>
    <row r="17" spans="1:15" ht="15" customHeight="1" x14ac:dyDescent="0.45">
      <c r="A17" s="18">
        <v>1113</v>
      </c>
      <c r="B17" s="18" t="s">
        <v>188</v>
      </c>
      <c r="C17" s="18" t="s">
        <v>189</v>
      </c>
      <c r="D17" s="18" t="s">
        <v>190</v>
      </c>
      <c r="E17" s="20">
        <v>18</v>
      </c>
      <c r="F17" s="18">
        <v>2300</v>
      </c>
      <c r="G17" s="18" t="s">
        <v>181</v>
      </c>
      <c r="H17" s="18" t="s">
        <v>191</v>
      </c>
      <c r="I17" s="18">
        <v>56789012</v>
      </c>
      <c r="J17" s="18" t="s">
        <v>167</v>
      </c>
      <c r="K17" s="18" t="s">
        <v>75</v>
      </c>
      <c r="L17" s="18" t="s">
        <v>192</v>
      </c>
      <c r="M17" t="s">
        <v>169</v>
      </c>
      <c r="N17" t="s">
        <v>193</v>
      </c>
      <c r="O17" t="s">
        <v>171</v>
      </c>
    </row>
    <row r="18" spans="1:15" ht="15" customHeight="1" x14ac:dyDescent="0.45">
      <c r="A18" s="18">
        <v>1114</v>
      </c>
      <c r="B18" s="18" t="s">
        <v>194</v>
      </c>
      <c r="C18" s="18" t="s">
        <v>195</v>
      </c>
      <c r="D18" s="18" t="s">
        <v>196</v>
      </c>
      <c r="E18" s="20">
        <v>23</v>
      </c>
      <c r="F18" s="18">
        <v>2300</v>
      </c>
      <c r="G18" s="18" t="s">
        <v>181</v>
      </c>
      <c r="H18" s="18" t="s">
        <v>197</v>
      </c>
      <c r="I18" s="18">
        <v>67890123</v>
      </c>
      <c r="J18" s="18" t="s">
        <v>167</v>
      </c>
      <c r="K18" s="18" t="s">
        <v>75</v>
      </c>
      <c r="L18" s="18" t="s">
        <v>198</v>
      </c>
      <c r="M18" t="s">
        <v>169</v>
      </c>
      <c r="N18" t="s">
        <v>170</v>
      </c>
      <c r="O18" t="s">
        <v>171</v>
      </c>
    </row>
    <row r="19" spans="1:15" ht="15" customHeight="1" x14ac:dyDescent="0.45">
      <c r="A19" s="18">
        <v>1115</v>
      </c>
      <c r="B19" s="18" t="s">
        <v>199</v>
      </c>
      <c r="C19" s="18" t="s">
        <v>155</v>
      </c>
      <c r="D19" s="18" t="s">
        <v>200</v>
      </c>
      <c r="E19" s="20">
        <v>46</v>
      </c>
      <c r="F19" s="18">
        <v>2000</v>
      </c>
      <c r="G19" s="18" t="s">
        <v>181</v>
      </c>
      <c r="H19" s="18" t="s">
        <v>201</v>
      </c>
      <c r="I19" s="18">
        <v>78901234</v>
      </c>
      <c r="J19" s="18" t="s">
        <v>167</v>
      </c>
      <c r="K19" s="18" t="s">
        <v>75</v>
      </c>
      <c r="L19" s="18" t="s">
        <v>202</v>
      </c>
      <c r="M19" t="s">
        <v>169</v>
      </c>
      <c r="N19" t="s">
        <v>170</v>
      </c>
      <c r="O19" t="s">
        <v>171</v>
      </c>
    </row>
    <row r="20" spans="1:15" ht="15" customHeight="1" x14ac:dyDescent="0.45">
      <c r="A20" s="18">
        <v>1116</v>
      </c>
      <c r="B20" s="18" t="s">
        <v>203</v>
      </c>
      <c r="C20" s="18" t="s">
        <v>204</v>
      </c>
      <c r="D20" s="18" t="s">
        <v>205</v>
      </c>
      <c r="E20" s="20">
        <v>5</v>
      </c>
      <c r="F20" s="18">
        <v>2000</v>
      </c>
      <c r="G20" s="18" t="s">
        <v>181</v>
      </c>
      <c r="H20" s="18" t="s">
        <v>206</v>
      </c>
      <c r="I20" s="18">
        <v>89012345</v>
      </c>
      <c r="J20" s="18" t="s">
        <v>167</v>
      </c>
      <c r="K20" s="18" t="s">
        <v>75</v>
      </c>
      <c r="L20" s="18" t="s">
        <v>207</v>
      </c>
      <c r="M20" t="s">
        <v>169</v>
      </c>
      <c r="N20" t="s">
        <v>193</v>
      </c>
      <c r="O20" t="s">
        <v>208</v>
      </c>
    </row>
    <row r="21" spans="1:15" ht="15" customHeight="1" x14ac:dyDescent="0.45">
      <c r="A21" s="18">
        <v>1117</v>
      </c>
      <c r="B21" s="18" t="s">
        <v>209</v>
      </c>
      <c r="C21" s="18" t="s">
        <v>210</v>
      </c>
      <c r="D21" s="18" t="s">
        <v>211</v>
      </c>
      <c r="E21" s="20">
        <v>37</v>
      </c>
      <c r="F21" s="18">
        <v>2100</v>
      </c>
      <c r="G21" s="18" t="s">
        <v>181</v>
      </c>
      <c r="H21" s="18" t="s">
        <v>212</v>
      </c>
      <c r="I21" s="18">
        <v>90123456</v>
      </c>
      <c r="J21" s="18" t="s">
        <v>167</v>
      </c>
      <c r="K21" s="18" t="s">
        <v>75</v>
      </c>
      <c r="L21" s="18" t="s">
        <v>213</v>
      </c>
      <c r="M21" t="s">
        <v>169</v>
      </c>
      <c r="N21" t="s">
        <v>170</v>
      </c>
      <c r="O21" t="s">
        <v>171</v>
      </c>
    </row>
    <row r="22" spans="1:15" ht="15" customHeight="1" x14ac:dyDescent="0.45">
      <c r="A22" s="18">
        <v>1118</v>
      </c>
      <c r="B22" s="18" t="s">
        <v>154</v>
      </c>
      <c r="C22" s="18" t="s">
        <v>214</v>
      </c>
      <c r="D22" s="18" t="s">
        <v>215</v>
      </c>
      <c r="E22" s="20">
        <v>61</v>
      </c>
      <c r="F22" s="18">
        <v>2200</v>
      </c>
      <c r="G22" s="18" t="s">
        <v>181</v>
      </c>
      <c r="H22" s="18" t="s">
        <v>216</v>
      </c>
      <c r="I22" s="18">
        <v>12345678</v>
      </c>
      <c r="J22" s="18" t="s">
        <v>167</v>
      </c>
      <c r="K22" s="18" t="s">
        <v>75</v>
      </c>
      <c r="L22" s="18" t="s">
        <v>217</v>
      </c>
      <c r="M22" t="s">
        <v>169</v>
      </c>
      <c r="N22" t="s">
        <v>170</v>
      </c>
      <c r="O22" t="s">
        <v>171</v>
      </c>
    </row>
    <row r="23" spans="1:15" ht="15" customHeight="1" x14ac:dyDescent="0.45">
      <c r="A23" s="18">
        <v>1119</v>
      </c>
      <c r="B23" s="18" t="s">
        <v>218</v>
      </c>
      <c r="C23" s="18" t="s">
        <v>219</v>
      </c>
      <c r="D23" s="18" t="s">
        <v>220</v>
      </c>
      <c r="E23" s="20">
        <v>28</v>
      </c>
      <c r="F23" s="18">
        <v>1620</v>
      </c>
      <c r="G23" s="18" t="s">
        <v>181</v>
      </c>
      <c r="H23" s="18" t="s">
        <v>221</v>
      </c>
      <c r="I23" s="18">
        <v>23456789</v>
      </c>
      <c r="J23" s="18" t="s">
        <v>160</v>
      </c>
      <c r="K23" s="18"/>
      <c r="L23" s="18"/>
    </row>
    <row r="24" spans="1:15" ht="15" customHeight="1" x14ac:dyDescent="0.45">
      <c r="A24" s="18">
        <v>1120</v>
      </c>
      <c r="B24" s="18" t="s">
        <v>222</v>
      </c>
      <c r="C24" s="18" t="s">
        <v>223</v>
      </c>
      <c r="D24" s="18" t="s">
        <v>190</v>
      </c>
      <c r="E24" s="20">
        <v>33</v>
      </c>
      <c r="F24" s="18">
        <v>2300</v>
      </c>
      <c r="G24" s="18" t="s">
        <v>181</v>
      </c>
      <c r="H24" s="18" t="s">
        <v>224</v>
      </c>
      <c r="I24" s="18">
        <v>34567890</v>
      </c>
      <c r="J24" s="18" t="s">
        <v>160</v>
      </c>
      <c r="K24" s="18"/>
      <c r="L24" s="18"/>
    </row>
    <row r="25" spans="1:15" ht="15" customHeight="1" x14ac:dyDescent="0.45">
      <c r="A25" s="18">
        <v>1131</v>
      </c>
      <c r="B25" s="18" t="s">
        <v>225</v>
      </c>
      <c r="C25" s="18" t="s">
        <v>155</v>
      </c>
      <c r="D25" s="18" t="s">
        <v>226</v>
      </c>
      <c r="E25" s="20">
        <v>21</v>
      </c>
      <c r="F25" s="18">
        <v>2200</v>
      </c>
      <c r="G25" s="18" t="s">
        <v>181</v>
      </c>
      <c r="H25" s="18" t="s">
        <v>227</v>
      </c>
      <c r="I25" s="18">
        <v>56789012</v>
      </c>
      <c r="J25" s="18" t="s">
        <v>160</v>
      </c>
      <c r="K25" s="18"/>
      <c r="L25" s="18"/>
    </row>
    <row r="26" spans="1:15" ht="15" customHeight="1" x14ac:dyDescent="0.45">
      <c r="A26" s="18">
        <v>1132</v>
      </c>
      <c r="B26" s="18" t="s">
        <v>228</v>
      </c>
      <c r="C26" s="18" t="s">
        <v>189</v>
      </c>
      <c r="D26" s="18" t="s">
        <v>190</v>
      </c>
      <c r="E26" s="20">
        <v>9</v>
      </c>
      <c r="F26" s="18">
        <v>2300</v>
      </c>
      <c r="G26" s="18" t="s">
        <v>181</v>
      </c>
      <c r="H26" s="18" t="s">
        <v>229</v>
      </c>
      <c r="I26" s="18">
        <v>67890123</v>
      </c>
      <c r="J26" s="18" t="s">
        <v>160</v>
      </c>
      <c r="K26" s="18"/>
      <c r="L26" s="18"/>
    </row>
    <row r="27" spans="1:15" ht="15" customHeight="1" x14ac:dyDescent="0.45">
      <c r="A27" s="18">
        <v>1133</v>
      </c>
      <c r="B27" s="18" t="s">
        <v>230</v>
      </c>
      <c r="C27" s="18" t="s">
        <v>179</v>
      </c>
      <c r="D27" s="18" t="s">
        <v>180</v>
      </c>
      <c r="E27" s="20">
        <v>31</v>
      </c>
      <c r="F27" s="18">
        <v>1620</v>
      </c>
      <c r="G27" s="18" t="s">
        <v>181</v>
      </c>
      <c r="H27" s="18" t="s">
        <v>231</v>
      </c>
      <c r="I27" s="18">
        <v>78901234</v>
      </c>
      <c r="J27" s="18" t="s">
        <v>160</v>
      </c>
      <c r="K27" s="18"/>
      <c r="L27" s="18"/>
    </row>
    <row r="28" spans="1:15" ht="15" customHeight="1" x14ac:dyDescent="0.45">
      <c r="A28" s="18">
        <v>1134</v>
      </c>
      <c r="B28" s="18" t="s">
        <v>232</v>
      </c>
      <c r="C28" s="18" t="s">
        <v>173</v>
      </c>
      <c r="D28" s="18" t="s">
        <v>186</v>
      </c>
      <c r="E28" s="20">
        <v>5</v>
      </c>
      <c r="F28" s="18">
        <v>1001</v>
      </c>
      <c r="G28" s="18" t="s">
        <v>181</v>
      </c>
      <c r="H28" s="18" t="s">
        <v>233</v>
      </c>
      <c r="I28" s="18">
        <v>89012345</v>
      </c>
      <c r="J28" s="18" t="s">
        <v>167</v>
      </c>
      <c r="K28" s="18" t="s">
        <v>90</v>
      </c>
      <c r="L28" s="18" t="s">
        <v>198</v>
      </c>
      <c r="M28" t="s">
        <v>169</v>
      </c>
      <c r="N28" t="s">
        <v>170</v>
      </c>
      <c r="O28" t="s">
        <v>171</v>
      </c>
    </row>
    <row r="29" spans="1:15" ht="15" customHeight="1" x14ac:dyDescent="0.45">
      <c r="A29" s="18">
        <v>1135</v>
      </c>
      <c r="B29" s="18" t="s">
        <v>234</v>
      </c>
      <c r="C29" s="18" t="s">
        <v>195</v>
      </c>
      <c r="D29" s="18" t="s">
        <v>235</v>
      </c>
      <c r="E29" s="20">
        <v>13</v>
      </c>
      <c r="F29" s="18">
        <v>2300</v>
      </c>
      <c r="G29" s="18" t="s">
        <v>181</v>
      </c>
      <c r="H29" s="18" t="s">
        <v>236</v>
      </c>
      <c r="I29" s="18">
        <v>90123456</v>
      </c>
      <c r="J29" s="18" t="s">
        <v>167</v>
      </c>
      <c r="K29" s="18" t="s">
        <v>90</v>
      </c>
      <c r="L29" s="18" t="s">
        <v>202</v>
      </c>
      <c r="M29" t="s">
        <v>169</v>
      </c>
      <c r="N29" t="s">
        <v>170</v>
      </c>
      <c r="O29" t="s">
        <v>171</v>
      </c>
    </row>
    <row r="30" spans="1:15" ht="15" customHeight="1" x14ac:dyDescent="0.45">
      <c r="A30" s="18">
        <v>1136</v>
      </c>
      <c r="B30" s="18" t="s">
        <v>237</v>
      </c>
      <c r="C30" s="18" t="s">
        <v>204</v>
      </c>
      <c r="D30" s="18" t="s">
        <v>205</v>
      </c>
      <c r="E30" s="20">
        <v>27</v>
      </c>
      <c r="F30" s="18">
        <v>2000</v>
      </c>
      <c r="G30" s="18" t="s">
        <v>181</v>
      </c>
      <c r="H30" s="18" t="s">
        <v>238</v>
      </c>
      <c r="I30" s="18">
        <v>12345678</v>
      </c>
      <c r="J30" s="18" t="s">
        <v>167</v>
      </c>
      <c r="K30" s="18" t="s">
        <v>90</v>
      </c>
      <c r="L30" s="18" t="s">
        <v>207</v>
      </c>
      <c r="M30" t="s">
        <v>169</v>
      </c>
      <c r="N30" t="s">
        <v>170</v>
      </c>
      <c r="O30" t="s">
        <v>171</v>
      </c>
    </row>
    <row r="31" spans="1:15" ht="15" customHeight="1" x14ac:dyDescent="0.45">
      <c r="A31" s="18">
        <v>1137</v>
      </c>
      <c r="B31" s="18" t="s">
        <v>239</v>
      </c>
      <c r="C31" s="18" t="s">
        <v>210</v>
      </c>
      <c r="D31" s="18" t="s">
        <v>211</v>
      </c>
      <c r="E31" s="20">
        <v>46</v>
      </c>
      <c r="F31" s="18">
        <v>2100</v>
      </c>
      <c r="G31" s="18" t="s">
        <v>181</v>
      </c>
      <c r="H31" s="18" t="s">
        <v>240</v>
      </c>
      <c r="I31" s="18">
        <v>23456789</v>
      </c>
      <c r="J31" s="18" t="s">
        <v>167</v>
      </c>
      <c r="K31" s="18" t="s">
        <v>90</v>
      </c>
      <c r="L31" s="18" t="s">
        <v>213</v>
      </c>
      <c r="M31" t="s">
        <v>184</v>
      </c>
      <c r="N31" t="s">
        <v>170</v>
      </c>
      <c r="O31" t="s">
        <v>171</v>
      </c>
    </row>
    <row r="32" spans="1:15" ht="15" customHeight="1" x14ac:dyDescent="0.45">
      <c r="A32" s="18">
        <v>1138</v>
      </c>
      <c r="B32" s="18" t="s">
        <v>241</v>
      </c>
      <c r="C32" s="18" t="s">
        <v>162</v>
      </c>
      <c r="D32" s="18" t="s">
        <v>242</v>
      </c>
      <c r="E32" s="20">
        <v>76</v>
      </c>
      <c r="F32" s="18">
        <v>2200</v>
      </c>
      <c r="G32" s="18" t="s">
        <v>181</v>
      </c>
      <c r="H32" s="18" t="s">
        <v>243</v>
      </c>
      <c r="I32" s="18">
        <v>34567890</v>
      </c>
      <c r="J32" s="18" t="s">
        <v>167</v>
      </c>
      <c r="K32" s="18" t="s">
        <v>75</v>
      </c>
      <c r="L32" s="18" t="s">
        <v>217</v>
      </c>
      <c r="M32" t="s">
        <v>184</v>
      </c>
      <c r="N32" t="s">
        <v>193</v>
      </c>
      <c r="O32" t="s">
        <v>208</v>
      </c>
    </row>
    <row r="33" spans="1:15" ht="15" customHeight="1" x14ac:dyDescent="0.45">
      <c r="A33" s="18">
        <v>1139</v>
      </c>
      <c r="B33" s="18" t="s">
        <v>244</v>
      </c>
      <c r="C33" s="18" t="s">
        <v>223</v>
      </c>
      <c r="D33" s="18" t="s">
        <v>190</v>
      </c>
      <c r="E33" s="20">
        <v>16</v>
      </c>
      <c r="F33" s="18">
        <v>2300</v>
      </c>
      <c r="G33" s="18" t="s">
        <v>181</v>
      </c>
      <c r="H33" s="18" t="s">
        <v>245</v>
      </c>
      <c r="I33" s="18">
        <v>45678901</v>
      </c>
      <c r="J33" s="18" t="s">
        <v>167</v>
      </c>
      <c r="K33" s="18" t="s">
        <v>90</v>
      </c>
      <c r="L33" s="18" t="s">
        <v>246</v>
      </c>
      <c r="M33" t="s">
        <v>169</v>
      </c>
      <c r="N33" t="s">
        <v>170</v>
      </c>
      <c r="O33" t="s">
        <v>171</v>
      </c>
    </row>
    <row r="34" spans="1:15" ht="15" customHeight="1" x14ac:dyDescent="0.45">
      <c r="A34" s="18">
        <v>1140</v>
      </c>
      <c r="B34" s="18" t="s">
        <v>247</v>
      </c>
      <c r="C34" s="18" t="s">
        <v>219</v>
      </c>
      <c r="D34" s="18" t="s">
        <v>220</v>
      </c>
      <c r="E34" s="20">
        <v>22</v>
      </c>
      <c r="F34" s="18">
        <v>1620</v>
      </c>
      <c r="G34" s="18" t="s">
        <v>181</v>
      </c>
      <c r="H34" s="18" t="s">
        <v>248</v>
      </c>
      <c r="I34" s="18">
        <v>56789012</v>
      </c>
      <c r="J34" s="18" t="s">
        <v>160</v>
      </c>
      <c r="K34" s="18"/>
      <c r="L34" s="18"/>
    </row>
    <row r="35" spans="1:15" ht="15" customHeight="1" x14ac:dyDescent="0.45">
      <c r="A35" s="18">
        <v>1141</v>
      </c>
      <c r="B35" s="18" t="s">
        <v>249</v>
      </c>
      <c r="C35" s="18" t="s">
        <v>189</v>
      </c>
      <c r="D35" s="18" t="s">
        <v>226</v>
      </c>
      <c r="E35" s="20">
        <v>17</v>
      </c>
      <c r="F35" s="18">
        <v>2200</v>
      </c>
      <c r="G35" s="18" t="s">
        <v>181</v>
      </c>
      <c r="H35" s="18" t="s">
        <v>250</v>
      </c>
      <c r="I35" s="18">
        <v>67890123</v>
      </c>
      <c r="J35" s="18" t="s">
        <v>160</v>
      </c>
      <c r="K35" s="18"/>
      <c r="L35" s="18"/>
    </row>
    <row r="36" spans="1:15" ht="15" customHeight="1" x14ac:dyDescent="0.45">
      <c r="A36" s="18">
        <v>1142</v>
      </c>
      <c r="B36" s="18" t="s">
        <v>251</v>
      </c>
      <c r="C36" s="18" t="s">
        <v>214</v>
      </c>
      <c r="D36" s="18" t="s">
        <v>180</v>
      </c>
      <c r="E36" s="20">
        <v>12</v>
      </c>
      <c r="F36" s="18">
        <v>1620</v>
      </c>
      <c r="G36" s="18" t="s">
        <v>181</v>
      </c>
      <c r="H36" s="18"/>
      <c r="I36" s="18">
        <v>78901234</v>
      </c>
      <c r="J36" s="18" t="s">
        <v>167</v>
      </c>
      <c r="K36" s="18" t="s">
        <v>75</v>
      </c>
      <c r="L36" s="18" t="s">
        <v>252</v>
      </c>
      <c r="M36" t="s">
        <v>184</v>
      </c>
      <c r="N36" t="s">
        <v>170</v>
      </c>
      <c r="O36" t="s">
        <v>171</v>
      </c>
    </row>
    <row r="37" spans="1:15" ht="15" customHeight="1" x14ac:dyDescent="0.45">
      <c r="A37" s="18">
        <v>1143</v>
      </c>
      <c r="B37" s="18" t="s">
        <v>232</v>
      </c>
      <c r="C37" s="18" t="s">
        <v>223</v>
      </c>
      <c r="D37" s="18" t="s">
        <v>211</v>
      </c>
      <c r="E37" s="20">
        <v>45</v>
      </c>
      <c r="F37" s="18">
        <v>2100</v>
      </c>
      <c r="G37" s="18" t="s">
        <v>181</v>
      </c>
      <c r="H37" s="18" t="s">
        <v>253</v>
      </c>
      <c r="I37" s="18">
        <v>89012345</v>
      </c>
      <c r="J37" s="18" t="s">
        <v>167</v>
      </c>
      <c r="K37" s="18" t="s">
        <v>90</v>
      </c>
      <c r="L37" s="18" t="s">
        <v>198</v>
      </c>
      <c r="M37" t="s">
        <v>184</v>
      </c>
      <c r="N37" t="s">
        <v>170</v>
      </c>
      <c r="O37" t="s">
        <v>171</v>
      </c>
    </row>
    <row r="38" spans="1:15" ht="15" customHeight="1" x14ac:dyDescent="0.45">
      <c r="A38" s="18">
        <v>1144</v>
      </c>
      <c r="B38" s="18" t="s">
        <v>234</v>
      </c>
      <c r="C38" s="18" t="s">
        <v>204</v>
      </c>
      <c r="D38" s="18" t="s">
        <v>190</v>
      </c>
      <c r="E38" s="20">
        <v>8</v>
      </c>
      <c r="F38" s="18">
        <v>2300</v>
      </c>
      <c r="G38" s="18" t="s">
        <v>181</v>
      </c>
      <c r="H38" s="18" t="s">
        <v>254</v>
      </c>
      <c r="I38" s="18">
        <v>90123456</v>
      </c>
      <c r="J38" s="18" t="s">
        <v>160</v>
      </c>
      <c r="K38" s="18"/>
      <c r="L38" s="18"/>
    </row>
    <row r="39" spans="1:15" ht="15" customHeight="1" x14ac:dyDescent="0.45">
      <c r="A39" s="18">
        <v>1145</v>
      </c>
      <c r="B39" s="18" t="s">
        <v>188</v>
      </c>
      <c r="C39" s="18" t="s">
        <v>195</v>
      </c>
      <c r="D39" s="18" t="s">
        <v>235</v>
      </c>
      <c r="E39" s="20">
        <v>14</v>
      </c>
      <c r="F39" s="18">
        <v>2300</v>
      </c>
      <c r="G39" s="18" t="s">
        <v>181</v>
      </c>
      <c r="H39" s="18" t="s">
        <v>255</v>
      </c>
      <c r="I39" s="18">
        <v>12345678</v>
      </c>
      <c r="J39" s="18" t="s">
        <v>167</v>
      </c>
      <c r="K39" s="18" t="s">
        <v>75</v>
      </c>
      <c r="L39" s="18" t="s">
        <v>256</v>
      </c>
      <c r="M39" t="s">
        <v>169</v>
      </c>
      <c r="N39" t="s">
        <v>170</v>
      </c>
      <c r="O39" t="s">
        <v>171</v>
      </c>
    </row>
    <row r="40" spans="1:15" ht="15" customHeight="1" x14ac:dyDescent="0.45">
      <c r="A40" s="18">
        <v>1146</v>
      </c>
      <c r="B40" s="18" t="s">
        <v>237</v>
      </c>
      <c r="C40" s="18" t="s">
        <v>162</v>
      </c>
      <c r="D40" s="18" t="s">
        <v>205</v>
      </c>
      <c r="E40" s="20">
        <v>19</v>
      </c>
      <c r="F40" s="18">
        <v>2000</v>
      </c>
      <c r="G40" s="18" t="s">
        <v>181</v>
      </c>
      <c r="H40" s="18" t="s">
        <v>257</v>
      </c>
      <c r="I40" s="18">
        <v>23456789</v>
      </c>
      <c r="J40" s="18" t="s">
        <v>160</v>
      </c>
      <c r="K40" s="18"/>
      <c r="L40" s="18"/>
    </row>
    <row r="41" spans="1:15" ht="15" customHeight="1" x14ac:dyDescent="0.45">
      <c r="A41" s="18">
        <v>1147</v>
      </c>
      <c r="B41" s="18" t="s">
        <v>239</v>
      </c>
      <c r="C41" s="18" t="s">
        <v>210</v>
      </c>
      <c r="D41" s="18" t="s">
        <v>258</v>
      </c>
      <c r="E41" s="20">
        <v>63</v>
      </c>
      <c r="F41" s="18">
        <v>2200</v>
      </c>
      <c r="G41" s="18" t="s">
        <v>181</v>
      </c>
      <c r="H41" s="18" t="s">
        <v>240</v>
      </c>
      <c r="I41" s="18">
        <v>34567890</v>
      </c>
      <c r="J41" s="18" t="s">
        <v>160</v>
      </c>
      <c r="K41" s="18"/>
      <c r="L41" s="18"/>
    </row>
    <row r="42" spans="1:15" ht="15" customHeight="1" x14ac:dyDescent="0.45">
      <c r="A42" s="18">
        <v>1148</v>
      </c>
      <c r="B42" s="18" t="s">
        <v>241</v>
      </c>
      <c r="C42" s="18" t="s">
        <v>214</v>
      </c>
      <c r="D42" s="18" t="s">
        <v>180</v>
      </c>
      <c r="E42" s="20">
        <v>8</v>
      </c>
      <c r="F42" s="18">
        <v>2300</v>
      </c>
      <c r="G42" s="18" t="s">
        <v>181</v>
      </c>
      <c r="H42" s="18" t="s">
        <v>259</v>
      </c>
      <c r="I42" s="18">
        <v>45678901</v>
      </c>
      <c r="J42" s="18" t="s">
        <v>160</v>
      </c>
      <c r="K42" s="18"/>
      <c r="L42" s="18"/>
    </row>
    <row r="43" spans="1:15" ht="15" customHeight="1" x14ac:dyDescent="0.45">
      <c r="A43" s="18">
        <v>1149</v>
      </c>
      <c r="B43" s="18" t="s">
        <v>247</v>
      </c>
      <c r="C43" s="18" t="s">
        <v>204</v>
      </c>
      <c r="D43" s="18" t="s">
        <v>190</v>
      </c>
      <c r="E43" s="20">
        <v>14</v>
      </c>
      <c r="F43" s="18">
        <v>2300</v>
      </c>
      <c r="G43" s="18" t="s">
        <v>181</v>
      </c>
      <c r="H43" s="18" t="s">
        <v>260</v>
      </c>
      <c r="I43" s="18">
        <v>56789012</v>
      </c>
      <c r="J43" s="18" t="s">
        <v>160</v>
      </c>
      <c r="K43" s="18"/>
      <c r="L43" s="18"/>
    </row>
    <row r="44" spans="1:15" ht="15" customHeight="1" x14ac:dyDescent="0.45">
      <c r="A44" s="18">
        <v>1150</v>
      </c>
      <c r="B44" s="18" t="s">
        <v>244</v>
      </c>
      <c r="C44" s="18" t="s">
        <v>261</v>
      </c>
      <c r="D44" s="18" t="s">
        <v>211</v>
      </c>
      <c r="E44" s="20">
        <v>73</v>
      </c>
      <c r="F44" s="18">
        <v>2100</v>
      </c>
      <c r="G44" s="18" t="s">
        <v>181</v>
      </c>
      <c r="H44" s="18" t="s">
        <v>262</v>
      </c>
      <c r="I44" s="18">
        <v>67890123</v>
      </c>
      <c r="J44" s="18" t="s">
        <v>167</v>
      </c>
      <c r="K44" s="18" t="s">
        <v>90</v>
      </c>
      <c r="L44" s="18" t="s">
        <v>246</v>
      </c>
      <c r="M44" t="s">
        <v>169</v>
      </c>
      <c r="N44" t="s">
        <v>170</v>
      </c>
      <c r="O44" t="s">
        <v>171</v>
      </c>
    </row>
    <row r="45" spans="1:15" ht="15" customHeight="1" x14ac:dyDescent="0.45">
      <c r="A45" s="18">
        <v>1151</v>
      </c>
      <c r="B45" s="18" t="s">
        <v>276</v>
      </c>
      <c r="C45" s="18" t="s">
        <v>155</v>
      </c>
      <c r="D45" s="18" t="s">
        <v>226</v>
      </c>
      <c r="E45" s="20">
        <v>19</v>
      </c>
      <c r="F45" s="18">
        <v>2200</v>
      </c>
      <c r="G45" s="18" t="s">
        <v>181</v>
      </c>
      <c r="H45" s="18" t="s">
        <v>277</v>
      </c>
      <c r="I45" s="18">
        <v>23456789</v>
      </c>
      <c r="J45" s="18" t="s">
        <v>160</v>
      </c>
      <c r="K45" s="18"/>
      <c r="L45" s="18"/>
    </row>
    <row r="46" spans="1:15" ht="15" customHeight="1" x14ac:dyDescent="0.45">
      <c r="A46" s="18">
        <v>1152</v>
      </c>
      <c r="B46" s="18" t="s">
        <v>278</v>
      </c>
      <c r="C46" s="18" t="s">
        <v>189</v>
      </c>
      <c r="D46" s="18" t="s">
        <v>190</v>
      </c>
      <c r="E46" s="20">
        <v>18</v>
      </c>
      <c r="F46" s="18">
        <v>2300</v>
      </c>
      <c r="G46" s="18" t="s">
        <v>181</v>
      </c>
      <c r="H46" s="18" t="s">
        <v>279</v>
      </c>
      <c r="I46" s="18">
        <v>34567890</v>
      </c>
      <c r="J46" s="18" t="s">
        <v>160</v>
      </c>
      <c r="K46" s="18"/>
      <c r="L46" s="18"/>
    </row>
    <row r="47" spans="1:15" ht="15" customHeight="1" x14ac:dyDescent="0.45">
      <c r="A47" s="18">
        <v>1153</v>
      </c>
      <c r="B47" s="18" t="s">
        <v>280</v>
      </c>
      <c r="C47" s="18" t="s">
        <v>179</v>
      </c>
      <c r="D47" s="18" t="s">
        <v>180</v>
      </c>
      <c r="E47" s="20">
        <v>45</v>
      </c>
      <c r="F47" s="18">
        <v>1620</v>
      </c>
      <c r="G47" s="18" t="s">
        <v>181</v>
      </c>
      <c r="H47" s="18" t="s">
        <v>281</v>
      </c>
      <c r="I47" s="18">
        <v>45678901</v>
      </c>
      <c r="J47" s="18" t="s">
        <v>167</v>
      </c>
      <c r="K47" s="18" t="s">
        <v>90</v>
      </c>
      <c r="L47" s="18" t="s">
        <v>198</v>
      </c>
      <c r="M47" t="s">
        <v>184</v>
      </c>
      <c r="N47" t="s">
        <v>170</v>
      </c>
      <c r="O47" t="s">
        <v>171</v>
      </c>
    </row>
    <row r="48" spans="1:15" ht="15" customHeight="1" x14ac:dyDescent="0.45">
      <c r="A48" s="18">
        <v>1154</v>
      </c>
      <c r="B48" s="18" t="s">
        <v>239</v>
      </c>
      <c r="C48" s="18" t="s">
        <v>173</v>
      </c>
      <c r="D48" s="18" t="s">
        <v>186</v>
      </c>
      <c r="E48" s="20">
        <v>3</v>
      </c>
      <c r="F48" s="18">
        <v>1001</v>
      </c>
      <c r="G48" s="18" t="s">
        <v>181</v>
      </c>
      <c r="H48" s="18" t="s">
        <v>282</v>
      </c>
      <c r="I48" s="18">
        <v>56789012</v>
      </c>
      <c r="J48" s="18" t="s">
        <v>160</v>
      </c>
      <c r="K48" s="18"/>
      <c r="L48" s="18"/>
    </row>
    <row r="49" spans="1:15" ht="15" customHeight="1" x14ac:dyDescent="0.45">
      <c r="A49" s="18">
        <v>1155</v>
      </c>
      <c r="B49" s="18" t="s">
        <v>283</v>
      </c>
      <c r="C49" s="18" t="s">
        <v>195</v>
      </c>
      <c r="D49" s="18" t="s">
        <v>235</v>
      </c>
      <c r="E49" s="20">
        <v>23</v>
      </c>
      <c r="F49" s="18">
        <v>2300</v>
      </c>
      <c r="G49" s="18" t="s">
        <v>181</v>
      </c>
      <c r="H49" s="18" t="s">
        <v>284</v>
      </c>
      <c r="I49" s="18">
        <v>67890123</v>
      </c>
      <c r="J49" s="18" t="s">
        <v>167</v>
      </c>
      <c r="K49" s="18" t="s">
        <v>90</v>
      </c>
      <c r="L49" s="18" t="s">
        <v>202</v>
      </c>
      <c r="M49" t="s">
        <v>184</v>
      </c>
      <c r="N49" t="s">
        <v>193</v>
      </c>
      <c r="O49" t="s">
        <v>171</v>
      </c>
    </row>
    <row r="50" spans="1:15" ht="15" customHeight="1" x14ac:dyDescent="0.45">
      <c r="A50" s="18">
        <v>1156</v>
      </c>
      <c r="B50" s="18" t="s">
        <v>232</v>
      </c>
      <c r="C50" s="18" t="s">
        <v>204</v>
      </c>
      <c r="D50" s="18" t="s">
        <v>205</v>
      </c>
      <c r="E50" s="20">
        <v>32</v>
      </c>
      <c r="F50" s="18">
        <v>2000</v>
      </c>
      <c r="G50" s="18" t="s">
        <v>181</v>
      </c>
      <c r="H50" s="18" t="s">
        <v>285</v>
      </c>
      <c r="I50" s="18">
        <v>78901234</v>
      </c>
      <c r="J50" s="18" t="s">
        <v>167</v>
      </c>
      <c r="K50" s="18" t="s">
        <v>90</v>
      </c>
      <c r="L50" s="18" t="s">
        <v>207</v>
      </c>
      <c r="M50" t="s">
        <v>184</v>
      </c>
      <c r="N50" t="s">
        <v>193</v>
      </c>
      <c r="O50" t="s">
        <v>208</v>
      </c>
    </row>
    <row r="51" spans="1:15" ht="15" customHeight="1" x14ac:dyDescent="0.45">
      <c r="A51" s="18">
        <v>1157</v>
      </c>
      <c r="B51" s="18" t="s">
        <v>234</v>
      </c>
      <c r="C51" s="18" t="s">
        <v>210</v>
      </c>
      <c r="D51" s="18" t="s">
        <v>211</v>
      </c>
      <c r="E51" s="20">
        <v>67</v>
      </c>
      <c r="F51" s="18">
        <v>2100</v>
      </c>
      <c r="G51" s="18" t="s">
        <v>181</v>
      </c>
      <c r="H51" s="18" t="s">
        <v>286</v>
      </c>
      <c r="I51" s="18">
        <v>89012345</v>
      </c>
      <c r="J51" s="18" t="s">
        <v>160</v>
      </c>
      <c r="K51" s="18"/>
      <c r="L51" s="18"/>
      <c r="M51" t="s">
        <v>184</v>
      </c>
      <c r="N51" t="s">
        <v>170</v>
      </c>
      <c r="O51" t="s">
        <v>171</v>
      </c>
    </row>
    <row r="52" spans="1:15" ht="15" customHeight="1" x14ac:dyDescent="0.45">
      <c r="A52" s="18">
        <v>1158</v>
      </c>
      <c r="B52" s="18" t="s">
        <v>244</v>
      </c>
      <c r="C52" s="18" t="s">
        <v>162</v>
      </c>
      <c r="D52" s="18" t="s">
        <v>215</v>
      </c>
      <c r="E52" s="20">
        <v>61</v>
      </c>
      <c r="F52" s="18">
        <v>2200</v>
      </c>
      <c r="G52" s="18" t="s">
        <v>181</v>
      </c>
      <c r="H52" s="18" t="s">
        <v>287</v>
      </c>
      <c r="I52" s="18">
        <v>90123456</v>
      </c>
      <c r="J52" s="18" t="s">
        <v>167</v>
      </c>
      <c r="K52" s="18" t="s">
        <v>90</v>
      </c>
      <c r="L52" s="18" t="s">
        <v>217</v>
      </c>
      <c r="M52" t="s">
        <v>184</v>
      </c>
      <c r="N52" t="s">
        <v>170</v>
      </c>
      <c r="O52" t="s">
        <v>171</v>
      </c>
    </row>
    <row r="53" spans="1:15" ht="15" customHeight="1" x14ac:dyDescent="0.45">
      <c r="A53" s="18">
        <v>1159</v>
      </c>
      <c r="B53" s="18" t="s">
        <v>288</v>
      </c>
      <c r="C53" s="18" t="s">
        <v>223</v>
      </c>
      <c r="D53" s="18" t="s">
        <v>190</v>
      </c>
      <c r="E53" s="20">
        <v>14</v>
      </c>
      <c r="F53" s="18">
        <v>2300</v>
      </c>
      <c r="G53" s="18" t="s">
        <v>181</v>
      </c>
      <c r="H53" s="18" t="s">
        <v>289</v>
      </c>
      <c r="I53" s="18">
        <v>12345678</v>
      </c>
      <c r="J53" s="18" t="s">
        <v>160</v>
      </c>
      <c r="K53" s="18"/>
      <c r="L53" s="18"/>
    </row>
    <row r="54" spans="1:15" ht="15" customHeight="1" x14ac:dyDescent="0.45">
      <c r="A54" s="18">
        <v>1160</v>
      </c>
      <c r="B54" s="18" t="s">
        <v>290</v>
      </c>
      <c r="C54" s="18" t="s">
        <v>219</v>
      </c>
      <c r="D54" s="18" t="s">
        <v>220</v>
      </c>
      <c r="E54" s="20">
        <v>28</v>
      </c>
      <c r="F54" s="18">
        <v>1620</v>
      </c>
      <c r="G54" s="18" t="s">
        <v>181</v>
      </c>
      <c r="H54" s="18" t="s">
        <v>291</v>
      </c>
      <c r="I54" s="18">
        <v>23456789</v>
      </c>
      <c r="J54" s="18" t="s">
        <v>160</v>
      </c>
      <c r="K54" s="18"/>
      <c r="L54" s="18"/>
    </row>
    <row r="55" spans="1:15" ht="15" customHeight="1" x14ac:dyDescent="0.45">
      <c r="A55" s="18">
        <v>1161</v>
      </c>
      <c r="B55" s="18" t="s">
        <v>249</v>
      </c>
      <c r="C55" s="18" t="s">
        <v>204</v>
      </c>
      <c r="D55" s="18" t="s">
        <v>226</v>
      </c>
      <c r="E55" s="20">
        <v>17</v>
      </c>
      <c r="F55" s="18">
        <v>2200</v>
      </c>
      <c r="G55" s="18" t="s">
        <v>181</v>
      </c>
      <c r="H55" s="18" t="s">
        <v>292</v>
      </c>
      <c r="I55" s="18">
        <v>34567890</v>
      </c>
      <c r="J55" s="18" t="s">
        <v>160</v>
      </c>
      <c r="K55" s="18"/>
      <c r="L55" s="18"/>
    </row>
    <row r="56" spans="1:15" ht="15" customHeight="1" x14ac:dyDescent="0.45">
      <c r="A56" s="18">
        <v>1162</v>
      </c>
      <c r="B56" s="18" t="s">
        <v>209</v>
      </c>
      <c r="C56" s="18" t="s">
        <v>214</v>
      </c>
      <c r="D56" s="18" t="s">
        <v>180</v>
      </c>
      <c r="E56" s="20">
        <v>34</v>
      </c>
      <c r="F56" s="18">
        <v>1620</v>
      </c>
      <c r="G56" s="18" t="s">
        <v>181</v>
      </c>
      <c r="H56" s="18" t="s">
        <v>293</v>
      </c>
      <c r="I56" s="18">
        <v>45678901</v>
      </c>
      <c r="J56" s="18" t="s">
        <v>160</v>
      </c>
      <c r="K56" s="18"/>
      <c r="L56" s="18"/>
    </row>
    <row r="57" spans="1:15" ht="15" customHeight="1" x14ac:dyDescent="0.45">
      <c r="A57" s="18">
        <v>1163</v>
      </c>
      <c r="B57" s="18" t="s">
        <v>232</v>
      </c>
      <c r="C57" s="18" t="s">
        <v>223</v>
      </c>
      <c r="D57" s="18" t="s">
        <v>190</v>
      </c>
      <c r="E57" s="20">
        <v>45</v>
      </c>
      <c r="F57" s="18">
        <v>2300</v>
      </c>
      <c r="G57" s="18" t="s">
        <v>181</v>
      </c>
      <c r="H57" s="18" t="s">
        <v>253</v>
      </c>
      <c r="I57" s="18">
        <v>56789012</v>
      </c>
      <c r="J57" s="18" t="s">
        <v>160</v>
      </c>
      <c r="K57" s="18"/>
      <c r="L57" s="18"/>
    </row>
    <row r="58" spans="1:15" ht="15" customHeight="1" x14ac:dyDescent="0.45">
      <c r="A58" s="18">
        <v>1164</v>
      </c>
      <c r="B58" s="18" t="s">
        <v>234</v>
      </c>
      <c r="C58" s="18" t="s">
        <v>204</v>
      </c>
      <c r="D58" s="18" t="s">
        <v>190</v>
      </c>
      <c r="E58" s="20">
        <v>8</v>
      </c>
      <c r="F58" s="18">
        <v>2300</v>
      </c>
      <c r="G58" s="18" t="s">
        <v>181</v>
      </c>
      <c r="H58" s="18" t="s">
        <v>254</v>
      </c>
      <c r="I58" s="18">
        <v>67890123</v>
      </c>
      <c r="J58" s="18" t="s">
        <v>160</v>
      </c>
      <c r="K58" s="18"/>
      <c r="L58" s="18"/>
    </row>
    <row r="59" spans="1:15" ht="15" customHeight="1" x14ac:dyDescent="0.45">
      <c r="A59" s="18">
        <v>1165</v>
      </c>
      <c r="B59" s="18" t="s">
        <v>188</v>
      </c>
      <c r="C59" s="18" t="s">
        <v>195</v>
      </c>
      <c r="D59" s="18" t="s">
        <v>235</v>
      </c>
      <c r="E59" s="20">
        <v>51</v>
      </c>
      <c r="F59" s="18">
        <v>2300</v>
      </c>
      <c r="G59" s="18" t="s">
        <v>181</v>
      </c>
      <c r="H59" s="18" t="s">
        <v>255</v>
      </c>
      <c r="I59" s="18">
        <v>78901234</v>
      </c>
      <c r="J59" s="18" t="s">
        <v>167</v>
      </c>
      <c r="K59" s="18" t="s">
        <v>90</v>
      </c>
      <c r="L59" s="18" t="s">
        <v>256</v>
      </c>
      <c r="M59" t="s">
        <v>169</v>
      </c>
      <c r="N59" t="s">
        <v>170</v>
      </c>
      <c r="O59" t="s">
        <v>171</v>
      </c>
    </row>
    <row r="60" spans="1:15" ht="15" customHeight="1" x14ac:dyDescent="0.45">
      <c r="A60" s="18">
        <v>1166</v>
      </c>
      <c r="B60" s="18" t="s">
        <v>237</v>
      </c>
      <c r="C60" s="18" t="s">
        <v>162</v>
      </c>
      <c r="D60" s="18" t="s">
        <v>205</v>
      </c>
      <c r="E60" s="20">
        <v>19</v>
      </c>
      <c r="F60" s="18">
        <v>2000</v>
      </c>
      <c r="G60" s="18" t="s">
        <v>181</v>
      </c>
      <c r="H60" s="18" t="s">
        <v>257</v>
      </c>
      <c r="I60" s="18">
        <v>89012345</v>
      </c>
      <c r="J60" s="18" t="s">
        <v>167</v>
      </c>
      <c r="K60" s="18" t="s">
        <v>90</v>
      </c>
      <c r="L60" s="18" t="s">
        <v>294</v>
      </c>
      <c r="M60" t="s">
        <v>184</v>
      </c>
      <c r="N60" t="s">
        <v>170</v>
      </c>
      <c r="O60" t="s">
        <v>171</v>
      </c>
    </row>
    <row r="61" spans="1:15" ht="15" customHeight="1" x14ac:dyDescent="0.45">
      <c r="A61" s="18">
        <v>1167</v>
      </c>
      <c r="B61" s="18" t="s">
        <v>239</v>
      </c>
      <c r="C61" s="18" t="s">
        <v>210</v>
      </c>
      <c r="D61" s="18" t="s">
        <v>258</v>
      </c>
      <c r="E61" s="20">
        <v>63</v>
      </c>
      <c r="F61" s="18">
        <v>2200</v>
      </c>
      <c r="G61" s="18" t="s">
        <v>181</v>
      </c>
      <c r="H61" s="18" t="s">
        <v>240</v>
      </c>
      <c r="I61" s="18">
        <v>90123456</v>
      </c>
      <c r="J61" s="18" t="s">
        <v>160</v>
      </c>
      <c r="K61" s="18"/>
      <c r="L61" s="18"/>
    </row>
    <row r="62" spans="1:15" ht="15" customHeight="1" x14ac:dyDescent="0.45">
      <c r="A62" s="18">
        <v>1168</v>
      </c>
      <c r="B62" s="18" t="s">
        <v>241</v>
      </c>
      <c r="C62" s="18" t="s">
        <v>214</v>
      </c>
      <c r="D62" s="18" t="s">
        <v>180</v>
      </c>
      <c r="E62" s="20">
        <v>8</v>
      </c>
      <c r="F62" s="18">
        <v>2300</v>
      </c>
      <c r="G62" s="18" t="s">
        <v>181</v>
      </c>
      <c r="H62" s="18" t="s">
        <v>259</v>
      </c>
      <c r="I62" s="18">
        <v>12345678</v>
      </c>
      <c r="J62" s="18" t="s">
        <v>160</v>
      </c>
      <c r="K62" s="18"/>
      <c r="L62" s="18"/>
    </row>
    <row r="63" spans="1:15" ht="15" customHeight="1" x14ac:dyDescent="0.45">
      <c r="A63" s="18">
        <v>1169</v>
      </c>
      <c r="B63" s="18" t="s">
        <v>247</v>
      </c>
      <c r="C63" s="18" t="s">
        <v>204</v>
      </c>
      <c r="D63" s="18" t="s">
        <v>190</v>
      </c>
      <c r="E63" s="20">
        <v>14</v>
      </c>
      <c r="F63" s="18">
        <v>2300</v>
      </c>
      <c r="G63" s="18" t="s">
        <v>181</v>
      </c>
      <c r="H63" s="18" t="s">
        <v>260</v>
      </c>
      <c r="I63" s="18">
        <v>23456789</v>
      </c>
      <c r="J63" s="18" t="s">
        <v>160</v>
      </c>
      <c r="K63" s="18"/>
      <c r="L63" s="18"/>
    </row>
    <row r="64" spans="1:15" ht="15" customHeight="1" x14ac:dyDescent="0.45">
      <c r="A64" s="18">
        <v>1170</v>
      </c>
      <c r="B64" s="18" t="s">
        <v>244</v>
      </c>
      <c r="C64" s="18" t="s">
        <v>261</v>
      </c>
      <c r="D64" s="18" t="s">
        <v>211</v>
      </c>
      <c r="E64" s="20">
        <v>73</v>
      </c>
      <c r="F64" s="18">
        <v>2100</v>
      </c>
      <c r="G64" s="18" t="s">
        <v>181</v>
      </c>
      <c r="H64" s="18" t="s">
        <v>262</v>
      </c>
      <c r="I64" s="18">
        <v>34567890</v>
      </c>
      <c r="J64" s="18" t="s">
        <v>167</v>
      </c>
      <c r="K64" s="18" t="s">
        <v>90</v>
      </c>
      <c r="L64" s="18" t="s">
        <v>246</v>
      </c>
      <c r="M64" t="s">
        <v>169</v>
      </c>
      <c r="N64" t="s">
        <v>170</v>
      </c>
      <c r="O64" t="s">
        <v>171</v>
      </c>
    </row>
    <row r="65" spans="1:15" ht="15" customHeight="1" x14ac:dyDescent="0.45">
      <c r="A65" s="18">
        <v>1191</v>
      </c>
      <c r="B65" s="18" t="s">
        <v>194</v>
      </c>
      <c r="C65" s="18" t="s">
        <v>155</v>
      </c>
      <c r="D65" s="18" t="s">
        <v>295</v>
      </c>
      <c r="E65" s="20">
        <v>5</v>
      </c>
      <c r="F65" s="18">
        <v>7100</v>
      </c>
      <c r="G65" s="18" t="s">
        <v>296</v>
      </c>
      <c r="H65" s="18" t="s">
        <v>297</v>
      </c>
      <c r="I65" s="18">
        <v>45678901</v>
      </c>
      <c r="J65" s="18" t="s">
        <v>167</v>
      </c>
      <c r="K65" s="18" t="s">
        <v>75</v>
      </c>
      <c r="L65" s="18" t="s">
        <v>298</v>
      </c>
      <c r="M65" t="s">
        <v>184</v>
      </c>
      <c r="N65" t="s">
        <v>193</v>
      </c>
      <c r="O65" t="s">
        <v>171</v>
      </c>
    </row>
    <row r="66" spans="1:15" ht="15" customHeight="1" x14ac:dyDescent="0.45">
      <c r="A66" s="18">
        <v>1192</v>
      </c>
      <c r="B66" s="18" t="s">
        <v>249</v>
      </c>
      <c r="C66" s="18" t="s">
        <v>189</v>
      </c>
      <c r="D66" s="18" t="s">
        <v>299</v>
      </c>
      <c r="E66" s="20">
        <v>12</v>
      </c>
      <c r="F66" s="18">
        <v>4000</v>
      </c>
      <c r="G66" s="18" t="s">
        <v>176</v>
      </c>
      <c r="H66" s="18" t="s">
        <v>250</v>
      </c>
      <c r="I66" s="18">
        <v>56789012</v>
      </c>
      <c r="J66" s="18" t="s">
        <v>160</v>
      </c>
      <c r="K66" s="18"/>
      <c r="L66" s="18"/>
    </row>
    <row r="67" spans="1:15" ht="15" customHeight="1" x14ac:dyDescent="0.45">
      <c r="A67" s="18">
        <v>1193</v>
      </c>
      <c r="B67" s="18" t="s">
        <v>300</v>
      </c>
      <c r="C67" s="18" t="s">
        <v>179</v>
      </c>
      <c r="D67" s="18" t="s">
        <v>301</v>
      </c>
      <c r="E67" s="20">
        <v>9</v>
      </c>
      <c r="F67" s="18">
        <v>6000</v>
      </c>
      <c r="G67" s="18" t="s">
        <v>302</v>
      </c>
      <c r="H67" s="18" t="s">
        <v>303</v>
      </c>
      <c r="I67" s="18">
        <v>67890123</v>
      </c>
      <c r="J67" s="18" t="s">
        <v>160</v>
      </c>
      <c r="K67" s="18"/>
      <c r="L67" s="18"/>
    </row>
    <row r="68" spans="1:15" ht="15" customHeight="1" x14ac:dyDescent="0.45">
      <c r="A68" s="18">
        <v>1194</v>
      </c>
      <c r="B68" s="18" t="s">
        <v>199</v>
      </c>
      <c r="C68" s="18" t="s">
        <v>173</v>
      </c>
      <c r="D68" s="18" t="s">
        <v>304</v>
      </c>
      <c r="E68" s="20">
        <v>28</v>
      </c>
      <c r="F68" s="18">
        <v>5000</v>
      </c>
      <c r="G68" s="18" t="s">
        <v>305</v>
      </c>
      <c r="H68" s="18" t="s">
        <v>306</v>
      </c>
      <c r="I68" s="18">
        <v>78901234</v>
      </c>
      <c r="J68" s="18" t="s">
        <v>160</v>
      </c>
      <c r="K68" s="18"/>
      <c r="L68" s="18"/>
    </row>
    <row r="69" spans="1:15" ht="15" customHeight="1" x14ac:dyDescent="0.45">
      <c r="A69" s="18">
        <v>1195</v>
      </c>
      <c r="B69" s="18" t="s">
        <v>185</v>
      </c>
      <c r="C69" s="18" t="s">
        <v>195</v>
      </c>
      <c r="D69" s="18" t="s">
        <v>307</v>
      </c>
      <c r="E69" s="20">
        <v>10</v>
      </c>
      <c r="F69" s="18">
        <v>7100</v>
      </c>
      <c r="G69" s="18" t="s">
        <v>296</v>
      </c>
      <c r="H69" s="18" t="s">
        <v>308</v>
      </c>
      <c r="I69" s="18">
        <v>89012345</v>
      </c>
      <c r="J69" s="18" t="s">
        <v>160</v>
      </c>
      <c r="K69" s="18"/>
      <c r="L69" s="18"/>
    </row>
    <row r="70" spans="1:15" ht="15" customHeight="1" x14ac:dyDescent="0.45">
      <c r="A70" s="18">
        <v>1196</v>
      </c>
      <c r="B70" s="18" t="s">
        <v>203</v>
      </c>
      <c r="C70" s="18" t="s">
        <v>204</v>
      </c>
      <c r="D70" s="18" t="s">
        <v>309</v>
      </c>
      <c r="E70" s="20">
        <v>19</v>
      </c>
      <c r="F70" s="18">
        <v>7100</v>
      </c>
      <c r="G70" s="18" t="s">
        <v>296</v>
      </c>
      <c r="H70" s="18" t="s">
        <v>206</v>
      </c>
      <c r="I70" s="18">
        <v>90123456</v>
      </c>
      <c r="J70" s="18" t="s">
        <v>167</v>
      </c>
      <c r="K70" s="18" t="s">
        <v>75</v>
      </c>
      <c r="L70" s="18" t="s">
        <v>207</v>
      </c>
      <c r="M70" t="s">
        <v>184</v>
      </c>
      <c r="N70" t="s">
        <v>193</v>
      </c>
      <c r="O70" t="s">
        <v>171</v>
      </c>
    </row>
    <row r="71" spans="1:15" ht="15" customHeight="1" x14ac:dyDescent="0.45">
      <c r="A71" s="18">
        <v>1197</v>
      </c>
      <c r="B71" s="18" t="s">
        <v>194</v>
      </c>
      <c r="C71" s="18" t="s">
        <v>210</v>
      </c>
      <c r="D71" s="18" t="s">
        <v>310</v>
      </c>
      <c r="E71" s="20">
        <v>42</v>
      </c>
      <c r="F71" s="18">
        <v>5000</v>
      </c>
      <c r="G71" s="18" t="s">
        <v>305</v>
      </c>
      <c r="H71" s="18" t="s">
        <v>311</v>
      </c>
      <c r="I71" s="18">
        <v>12345678</v>
      </c>
      <c r="J71" s="18" t="s">
        <v>167</v>
      </c>
      <c r="K71" s="18" t="s">
        <v>75</v>
      </c>
      <c r="L71" s="18" t="s">
        <v>213</v>
      </c>
      <c r="M71" t="s">
        <v>312</v>
      </c>
      <c r="N71" t="s">
        <v>170</v>
      </c>
      <c r="O71" t="s">
        <v>208</v>
      </c>
    </row>
    <row r="72" spans="1:15" ht="15" customHeight="1" x14ac:dyDescent="0.45">
      <c r="A72" s="18">
        <v>1198</v>
      </c>
      <c r="B72" s="18" t="s">
        <v>274</v>
      </c>
      <c r="C72" s="18" t="s">
        <v>162</v>
      </c>
      <c r="D72" s="18" t="s">
        <v>301</v>
      </c>
      <c r="E72" s="20">
        <v>31</v>
      </c>
      <c r="F72" s="18">
        <v>6000</v>
      </c>
      <c r="G72" s="18" t="s">
        <v>302</v>
      </c>
      <c r="H72" s="18" t="s">
        <v>275</v>
      </c>
      <c r="I72" s="18">
        <v>23456789</v>
      </c>
      <c r="J72" s="18" t="s">
        <v>160</v>
      </c>
      <c r="K72" s="18"/>
      <c r="L72" s="18"/>
    </row>
    <row r="73" spans="1:15" ht="15" customHeight="1" x14ac:dyDescent="0.45">
      <c r="A73" s="18">
        <v>1199</v>
      </c>
      <c r="B73" s="18" t="s">
        <v>249</v>
      </c>
      <c r="C73" s="18" t="s">
        <v>223</v>
      </c>
      <c r="D73" s="18" t="s">
        <v>295</v>
      </c>
      <c r="E73" s="20">
        <v>15</v>
      </c>
      <c r="F73" s="18">
        <v>7100</v>
      </c>
      <c r="G73" s="18" t="s">
        <v>296</v>
      </c>
      <c r="H73" s="18" t="s">
        <v>313</v>
      </c>
      <c r="I73" s="18">
        <v>34567890</v>
      </c>
      <c r="J73" s="18" t="s">
        <v>160</v>
      </c>
      <c r="K73" s="18"/>
      <c r="L73" s="18"/>
    </row>
    <row r="74" spans="1:15" ht="15" customHeight="1" x14ac:dyDescent="0.45">
      <c r="A74" s="18">
        <v>1200</v>
      </c>
      <c r="B74" s="18" t="s">
        <v>314</v>
      </c>
      <c r="C74" s="18" t="s">
        <v>219</v>
      </c>
      <c r="D74" s="18" t="s">
        <v>299</v>
      </c>
      <c r="E74" s="20">
        <v>8</v>
      </c>
      <c r="F74" s="18">
        <v>4000</v>
      </c>
      <c r="G74" s="18" t="s">
        <v>176</v>
      </c>
      <c r="H74" s="18" t="s">
        <v>315</v>
      </c>
      <c r="I74" s="18">
        <v>45678901</v>
      </c>
      <c r="J74" s="18" t="s">
        <v>160</v>
      </c>
      <c r="K74" s="18"/>
      <c r="L74" s="18"/>
    </row>
    <row r="75" spans="1:15" ht="15" customHeight="1" x14ac:dyDescent="0.45">
      <c r="A75" s="18">
        <v>1201</v>
      </c>
      <c r="B75" s="18" t="s">
        <v>278</v>
      </c>
      <c r="C75" s="18" t="s">
        <v>214</v>
      </c>
      <c r="D75" s="18" t="s">
        <v>304</v>
      </c>
      <c r="E75" s="20">
        <v>25</v>
      </c>
      <c r="F75" s="18">
        <v>5000</v>
      </c>
      <c r="G75" s="18" t="s">
        <v>305</v>
      </c>
      <c r="H75" s="18" t="s">
        <v>316</v>
      </c>
      <c r="I75" s="18">
        <v>56789012</v>
      </c>
      <c r="J75" s="18" t="s">
        <v>160</v>
      </c>
      <c r="K75" s="18"/>
      <c r="L75" s="18"/>
    </row>
    <row r="76" spans="1:15" ht="15" customHeight="1" x14ac:dyDescent="0.45">
      <c r="A76" s="18">
        <v>1202</v>
      </c>
      <c r="B76" s="18" t="s">
        <v>280</v>
      </c>
      <c r="C76" s="18" t="s">
        <v>189</v>
      </c>
      <c r="D76" s="18" t="s">
        <v>307</v>
      </c>
      <c r="E76" s="20">
        <v>9</v>
      </c>
      <c r="F76" s="18">
        <v>7100</v>
      </c>
      <c r="G76" s="18" t="s">
        <v>296</v>
      </c>
      <c r="H76" s="18" t="s">
        <v>317</v>
      </c>
      <c r="I76" s="18">
        <v>67890123</v>
      </c>
      <c r="J76" s="18" t="s">
        <v>167</v>
      </c>
      <c r="K76" s="18" t="s">
        <v>90</v>
      </c>
      <c r="L76" s="18" t="s">
        <v>318</v>
      </c>
      <c r="M76" t="s">
        <v>169</v>
      </c>
      <c r="N76" t="s">
        <v>170</v>
      </c>
      <c r="O76" t="s">
        <v>171</v>
      </c>
    </row>
    <row r="77" spans="1:15" ht="15" customHeight="1" x14ac:dyDescent="0.45">
      <c r="A77" s="18">
        <v>1203</v>
      </c>
      <c r="B77" s="18" t="s">
        <v>239</v>
      </c>
      <c r="C77" s="18" t="s">
        <v>179</v>
      </c>
      <c r="D77" s="18" t="s">
        <v>301</v>
      </c>
      <c r="E77" s="20">
        <v>18</v>
      </c>
      <c r="F77" s="18">
        <v>6000</v>
      </c>
      <c r="G77" s="18" t="s">
        <v>302</v>
      </c>
      <c r="H77" s="18" t="s">
        <v>319</v>
      </c>
      <c r="I77" s="18">
        <v>78901234</v>
      </c>
      <c r="J77" s="18" t="s">
        <v>160</v>
      </c>
      <c r="K77" s="18"/>
      <c r="L77" s="18"/>
    </row>
    <row r="78" spans="1:15" ht="15" customHeight="1" x14ac:dyDescent="0.45">
      <c r="A78" s="18">
        <v>1204</v>
      </c>
      <c r="B78" s="18" t="s">
        <v>283</v>
      </c>
      <c r="C78" s="18" t="s">
        <v>173</v>
      </c>
      <c r="D78" s="18" t="s">
        <v>304</v>
      </c>
      <c r="E78" s="20">
        <v>37</v>
      </c>
      <c r="F78" s="18">
        <v>5000</v>
      </c>
      <c r="G78" s="18" t="s">
        <v>305</v>
      </c>
      <c r="H78" s="18" t="s">
        <v>320</v>
      </c>
      <c r="I78" s="18">
        <v>89012345</v>
      </c>
      <c r="J78" s="18" t="s">
        <v>167</v>
      </c>
      <c r="K78" s="18" t="s">
        <v>90</v>
      </c>
      <c r="L78" s="18" t="s">
        <v>198</v>
      </c>
      <c r="M78" t="s">
        <v>169</v>
      </c>
      <c r="N78" t="s">
        <v>170</v>
      </c>
      <c r="O78" t="s">
        <v>171</v>
      </c>
    </row>
    <row r="79" spans="1:15" ht="15" customHeight="1" x14ac:dyDescent="0.45">
      <c r="A79" s="18">
        <v>1205</v>
      </c>
      <c r="B79" s="18" t="s">
        <v>232</v>
      </c>
      <c r="C79" s="18" t="s">
        <v>195</v>
      </c>
      <c r="D79" s="18" t="s">
        <v>295</v>
      </c>
      <c r="E79" s="20">
        <v>21</v>
      </c>
      <c r="F79" s="18">
        <v>7100</v>
      </c>
      <c r="G79" s="18" t="s">
        <v>296</v>
      </c>
      <c r="H79" s="18" t="s">
        <v>321</v>
      </c>
      <c r="I79" s="18">
        <v>90123456</v>
      </c>
      <c r="J79" s="18" t="s">
        <v>167</v>
      </c>
      <c r="K79" s="18" t="s">
        <v>90</v>
      </c>
      <c r="L79" s="18" t="s">
        <v>202</v>
      </c>
      <c r="M79" t="s">
        <v>169</v>
      </c>
      <c r="N79" t="s">
        <v>170</v>
      </c>
      <c r="O79" t="s">
        <v>171</v>
      </c>
    </row>
    <row r="80" spans="1:15" ht="15" customHeight="1" x14ac:dyDescent="0.45">
      <c r="A80" s="18">
        <v>1206</v>
      </c>
      <c r="B80" s="18" t="s">
        <v>234</v>
      </c>
      <c r="C80" s="18" t="s">
        <v>204</v>
      </c>
      <c r="D80" s="18" t="s">
        <v>309</v>
      </c>
      <c r="E80" s="20">
        <v>46</v>
      </c>
      <c r="F80" s="18">
        <v>7100</v>
      </c>
      <c r="G80" s="18" t="s">
        <v>296</v>
      </c>
      <c r="H80" s="18" t="s">
        <v>254</v>
      </c>
      <c r="I80" s="18">
        <v>12345678</v>
      </c>
      <c r="J80" s="18" t="s">
        <v>167</v>
      </c>
      <c r="K80" s="18" t="s">
        <v>90</v>
      </c>
      <c r="L80" s="18" t="s">
        <v>198</v>
      </c>
      <c r="M80" t="s">
        <v>169</v>
      </c>
      <c r="N80" t="s">
        <v>193</v>
      </c>
      <c r="O80" t="s">
        <v>171</v>
      </c>
    </row>
    <row r="81" spans="5:5" ht="15" customHeight="1" x14ac:dyDescent="0.4">
      <c r="E81"/>
    </row>
    <row r="82" spans="5:5" ht="15" customHeight="1" x14ac:dyDescent="0.4">
      <c r="E82"/>
    </row>
    <row r="83" spans="5:5" ht="15" customHeight="1" x14ac:dyDescent="0.4">
      <c r="E83"/>
    </row>
    <row r="84" spans="5:5" ht="15" customHeight="1" x14ac:dyDescent="0.4">
      <c r="E84"/>
    </row>
    <row r="85" spans="5:5" ht="15" customHeight="1" x14ac:dyDescent="0.4">
      <c r="E85"/>
    </row>
    <row r="86" spans="5:5" ht="15" customHeight="1" x14ac:dyDescent="0.4">
      <c r="E86"/>
    </row>
    <row r="87" spans="5:5" ht="15" customHeight="1" x14ac:dyDescent="0.4">
      <c r="E87"/>
    </row>
    <row r="88" spans="5:5" ht="15" customHeight="1" x14ac:dyDescent="0.4">
      <c r="E88"/>
    </row>
    <row r="89" spans="5:5" ht="15" customHeight="1" x14ac:dyDescent="0.4">
      <c r="E89"/>
    </row>
    <row r="90" spans="5:5" ht="15" customHeight="1" x14ac:dyDescent="0.4">
      <c r="E9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5CD8C-D5CD-4FC7-B564-CDCA43CA6EBC}">
  <sheetPr codeName="Ark3"/>
  <dimension ref="A1:J29"/>
  <sheetViews>
    <sheetView workbookViewId="0">
      <selection activeCell="F32" sqref="F32"/>
    </sheetView>
  </sheetViews>
  <sheetFormatPr defaultColWidth="8.84375" defaultRowHeight="14.6" x14ac:dyDescent="0.4"/>
  <cols>
    <col min="1" max="1" width="20" customWidth="1"/>
    <col min="2" max="2" width="19.69140625" style="31" customWidth="1"/>
    <col min="3" max="3" width="27.69140625" customWidth="1"/>
    <col min="4" max="4" width="19.15234375" customWidth="1"/>
    <col min="5" max="6" width="10" customWidth="1"/>
    <col min="7" max="7" width="14.3828125" customWidth="1"/>
    <col min="8" max="8" width="14.69140625" customWidth="1"/>
    <col min="9" max="9" width="15.84375" customWidth="1"/>
    <col min="10" max="10" width="11.3046875" bestFit="1" customWidth="1"/>
  </cols>
  <sheetData>
    <row r="1" spans="1:10" x14ac:dyDescent="0.4">
      <c r="A1" s="16" t="s">
        <v>322</v>
      </c>
      <c r="B1" s="29" t="s">
        <v>323</v>
      </c>
      <c r="C1" s="16" t="s">
        <v>324</v>
      </c>
      <c r="D1" s="16" t="s">
        <v>3</v>
      </c>
      <c r="E1" s="16" t="s">
        <v>325</v>
      </c>
      <c r="F1" s="16" t="s">
        <v>378</v>
      </c>
      <c r="G1" s="16" t="s">
        <v>326</v>
      </c>
      <c r="H1" s="16" t="s">
        <v>327</v>
      </c>
      <c r="I1" s="16" t="s">
        <v>4</v>
      </c>
      <c r="J1" s="16" t="s">
        <v>65</v>
      </c>
    </row>
    <row r="2" spans="1:10" ht="15.9" x14ac:dyDescent="0.45">
      <c r="A2" s="18">
        <v>20001</v>
      </c>
      <c r="B2" s="30">
        <v>44928</v>
      </c>
      <c r="C2" s="30">
        <v>44932</v>
      </c>
      <c r="D2" s="18" t="s">
        <v>62</v>
      </c>
      <c r="E2" s="18">
        <v>1</v>
      </c>
      <c r="F2" s="18" t="s">
        <v>379</v>
      </c>
      <c r="G2" s="18">
        <v>400</v>
      </c>
      <c r="H2" s="18">
        <v>1800</v>
      </c>
      <c r="I2" s="18">
        <v>1102</v>
      </c>
      <c r="J2" s="18">
        <v>1799</v>
      </c>
    </row>
    <row r="3" spans="1:10" ht="15.9" x14ac:dyDescent="0.45">
      <c r="A3" s="18">
        <v>20002</v>
      </c>
      <c r="B3" s="30">
        <v>44932</v>
      </c>
      <c r="C3" s="30">
        <v>44936</v>
      </c>
      <c r="D3" s="18" t="s">
        <v>45</v>
      </c>
      <c r="E3" s="18">
        <v>1</v>
      </c>
      <c r="F3" s="18" t="s">
        <v>380</v>
      </c>
      <c r="G3" s="18">
        <v>400</v>
      </c>
      <c r="H3" s="18">
        <v>1800</v>
      </c>
      <c r="I3" s="18">
        <v>1137</v>
      </c>
      <c r="J3" s="18">
        <v>1793</v>
      </c>
    </row>
    <row r="4" spans="1:10" ht="15.9" x14ac:dyDescent="0.45">
      <c r="A4" s="18">
        <v>20003</v>
      </c>
      <c r="B4" s="30">
        <v>44936</v>
      </c>
      <c r="C4" s="30">
        <v>44940</v>
      </c>
      <c r="D4" s="18" t="s">
        <v>17</v>
      </c>
      <c r="E4" s="18">
        <v>1</v>
      </c>
      <c r="F4" s="18"/>
      <c r="G4" s="18">
        <v>400</v>
      </c>
      <c r="H4" s="18">
        <v>1800</v>
      </c>
      <c r="I4" s="18">
        <v>1113</v>
      </c>
      <c r="J4" s="18">
        <v>1796</v>
      </c>
    </row>
    <row r="5" spans="1:10" ht="15.9" x14ac:dyDescent="0.45">
      <c r="A5" s="18">
        <v>20004</v>
      </c>
      <c r="B5" s="30">
        <v>44940</v>
      </c>
      <c r="C5" s="30">
        <v>44944</v>
      </c>
      <c r="D5" s="18" t="s">
        <v>52</v>
      </c>
      <c r="E5" s="18">
        <v>1</v>
      </c>
      <c r="F5" s="18"/>
      <c r="G5" s="18">
        <v>340</v>
      </c>
      <c r="H5" s="18">
        <v>1800</v>
      </c>
      <c r="I5" s="18">
        <v>1150</v>
      </c>
      <c r="J5" s="18">
        <v>1823</v>
      </c>
    </row>
    <row r="6" spans="1:10" ht="15.9" x14ac:dyDescent="0.45">
      <c r="A6" s="18">
        <v>20005</v>
      </c>
      <c r="B6" s="30">
        <v>44944</v>
      </c>
      <c r="C6" s="30">
        <v>44948</v>
      </c>
      <c r="D6" s="18" t="s">
        <v>56</v>
      </c>
      <c r="E6" s="18">
        <v>1</v>
      </c>
      <c r="F6" s="18"/>
      <c r="G6" s="18">
        <v>340</v>
      </c>
      <c r="H6" s="18">
        <v>1800</v>
      </c>
      <c r="I6" s="18">
        <v>1168</v>
      </c>
      <c r="J6" s="18">
        <v>1766</v>
      </c>
    </row>
    <row r="7" spans="1:10" ht="15.9" x14ac:dyDescent="0.45">
      <c r="A7" s="18">
        <v>20006</v>
      </c>
      <c r="B7" s="30">
        <v>44948</v>
      </c>
      <c r="C7" s="30">
        <v>44952</v>
      </c>
      <c r="D7" s="18" t="s">
        <v>30</v>
      </c>
      <c r="E7" s="18">
        <v>1</v>
      </c>
      <c r="F7" s="18"/>
      <c r="G7" s="18">
        <v>340</v>
      </c>
      <c r="H7" s="18">
        <v>1800</v>
      </c>
      <c r="I7" s="18">
        <v>1119</v>
      </c>
      <c r="J7" s="18">
        <v>1790</v>
      </c>
    </row>
    <row r="8" spans="1:10" ht="15.9" x14ac:dyDescent="0.45">
      <c r="A8" s="18">
        <v>20007</v>
      </c>
      <c r="B8" s="30">
        <v>44952</v>
      </c>
      <c r="C8" s="30">
        <v>44956</v>
      </c>
      <c r="D8" s="18" t="s">
        <v>55</v>
      </c>
      <c r="E8" s="18">
        <v>1</v>
      </c>
      <c r="F8" s="18"/>
      <c r="G8" s="18">
        <v>400</v>
      </c>
      <c r="H8" s="18">
        <v>1800</v>
      </c>
      <c r="I8" s="18">
        <v>1102</v>
      </c>
      <c r="J8" s="18">
        <v>1796</v>
      </c>
    </row>
    <row r="9" spans="1:10" ht="15.9" x14ac:dyDescent="0.45">
      <c r="A9" s="18">
        <v>20008</v>
      </c>
      <c r="B9" s="30">
        <v>44956</v>
      </c>
      <c r="C9" s="30">
        <v>44960</v>
      </c>
      <c r="D9" s="18" t="s">
        <v>10</v>
      </c>
      <c r="E9" s="18">
        <v>1</v>
      </c>
      <c r="F9" s="18"/>
      <c r="G9" s="18">
        <v>400</v>
      </c>
      <c r="H9" s="18">
        <v>1800</v>
      </c>
      <c r="I9" s="18">
        <v>1137</v>
      </c>
      <c r="J9" s="18">
        <v>1829</v>
      </c>
    </row>
    <row r="10" spans="1:10" ht="15.9" x14ac:dyDescent="0.45">
      <c r="A10" s="18">
        <v>20009</v>
      </c>
      <c r="B10" s="30">
        <v>44960</v>
      </c>
      <c r="C10" s="30">
        <v>44964</v>
      </c>
      <c r="D10" s="18" t="s">
        <v>14</v>
      </c>
      <c r="E10" s="18">
        <v>1</v>
      </c>
      <c r="F10" s="18"/>
      <c r="G10" s="18">
        <v>400</v>
      </c>
      <c r="H10" s="18">
        <v>1800</v>
      </c>
      <c r="I10" s="18">
        <v>1113</v>
      </c>
      <c r="J10" s="18">
        <v>1793</v>
      </c>
    </row>
    <row r="11" spans="1:10" ht="15.9" x14ac:dyDescent="0.45">
      <c r="A11" s="18">
        <v>20010</v>
      </c>
      <c r="B11" s="30">
        <v>44964</v>
      </c>
      <c r="C11" s="30">
        <v>44968</v>
      </c>
      <c r="D11" s="18" t="s">
        <v>135</v>
      </c>
      <c r="E11" s="18">
        <v>1</v>
      </c>
      <c r="F11" s="18"/>
      <c r="G11" s="18">
        <v>400</v>
      </c>
      <c r="H11" s="18">
        <v>1800</v>
      </c>
      <c r="I11" s="18">
        <v>1150</v>
      </c>
      <c r="J11" s="18">
        <v>1838</v>
      </c>
    </row>
    <row r="12" spans="1:10" ht="15.9" x14ac:dyDescent="0.45">
      <c r="A12" s="18">
        <v>20011</v>
      </c>
      <c r="B12" s="30">
        <v>44968</v>
      </c>
      <c r="C12" s="30">
        <v>44972</v>
      </c>
      <c r="D12" s="18" t="s">
        <v>8</v>
      </c>
      <c r="E12" s="18">
        <v>1</v>
      </c>
      <c r="F12" s="18"/>
      <c r="G12" s="18">
        <v>340</v>
      </c>
      <c r="H12" s="18">
        <v>1800</v>
      </c>
      <c r="I12" s="18">
        <v>1131</v>
      </c>
      <c r="J12" s="18">
        <v>1793</v>
      </c>
    </row>
    <row r="13" spans="1:10" ht="15.9" x14ac:dyDescent="0.45">
      <c r="A13" s="18">
        <v>20012</v>
      </c>
      <c r="B13" s="30">
        <v>44972</v>
      </c>
      <c r="C13" s="30">
        <v>44976</v>
      </c>
      <c r="D13" s="18" t="s">
        <v>134</v>
      </c>
      <c r="E13" s="18">
        <v>1</v>
      </c>
      <c r="F13" s="18"/>
      <c r="G13" s="18">
        <v>340</v>
      </c>
      <c r="H13" s="18">
        <v>1800</v>
      </c>
      <c r="I13" s="18">
        <v>1119</v>
      </c>
      <c r="J13" s="18">
        <v>1829</v>
      </c>
    </row>
    <row r="14" spans="1:10" ht="15.9" x14ac:dyDescent="0.45">
      <c r="A14" s="18">
        <v>20013</v>
      </c>
      <c r="B14" s="30">
        <v>44976</v>
      </c>
      <c r="C14" s="30">
        <v>44980</v>
      </c>
      <c r="D14" s="18" t="s">
        <v>36</v>
      </c>
      <c r="E14" s="18">
        <v>1</v>
      </c>
      <c r="F14" s="18"/>
      <c r="G14" s="18">
        <v>340</v>
      </c>
      <c r="H14" s="18">
        <v>1800</v>
      </c>
      <c r="I14" s="18">
        <v>1102</v>
      </c>
      <c r="J14" s="18">
        <v>1850</v>
      </c>
    </row>
    <row r="15" spans="1:10" ht="15.9" x14ac:dyDescent="0.45">
      <c r="A15" s="18">
        <v>20014</v>
      </c>
      <c r="B15" s="30">
        <v>44980</v>
      </c>
      <c r="C15" s="30">
        <v>44984</v>
      </c>
      <c r="D15" s="18" t="s">
        <v>51</v>
      </c>
      <c r="E15" s="18">
        <v>1</v>
      </c>
      <c r="F15" s="18"/>
      <c r="G15" s="18">
        <v>400</v>
      </c>
      <c r="H15" s="18">
        <v>1800</v>
      </c>
      <c r="I15" s="18">
        <v>1137</v>
      </c>
      <c r="J15" s="18">
        <v>1766</v>
      </c>
    </row>
    <row r="16" spans="1:10" ht="15.9" x14ac:dyDescent="0.45">
      <c r="A16" s="18">
        <v>20015</v>
      </c>
      <c r="B16" s="30">
        <v>44984</v>
      </c>
      <c r="C16" s="30">
        <v>44988</v>
      </c>
      <c r="D16" s="18" t="s">
        <v>64</v>
      </c>
      <c r="E16" s="18">
        <v>1</v>
      </c>
      <c r="F16" s="18"/>
      <c r="G16" s="18">
        <v>400</v>
      </c>
      <c r="H16" s="18">
        <v>1800</v>
      </c>
      <c r="I16" s="18">
        <v>1113</v>
      </c>
      <c r="J16" s="18">
        <v>1754</v>
      </c>
    </row>
    <row r="17" spans="1:10" ht="15.9" x14ac:dyDescent="0.45">
      <c r="A17" s="18">
        <v>20016</v>
      </c>
      <c r="B17" s="30">
        <v>44988</v>
      </c>
      <c r="C17" s="30">
        <v>44992</v>
      </c>
      <c r="D17" s="18" t="s">
        <v>8</v>
      </c>
      <c r="E17" s="18">
        <v>1</v>
      </c>
      <c r="F17" s="18"/>
      <c r="G17" s="18">
        <v>400</v>
      </c>
      <c r="H17" s="18">
        <v>1800</v>
      </c>
      <c r="I17" s="18">
        <v>1150</v>
      </c>
      <c r="J17" s="18">
        <v>1793</v>
      </c>
    </row>
    <row r="18" spans="1:10" ht="15.9" x14ac:dyDescent="0.45">
      <c r="A18" s="18">
        <v>20017</v>
      </c>
      <c r="B18" s="30">
        <v>44992</v>
      </c>
      <c r="C18" s="30">
        <v>44996</v>
      </c>
      <c r="D18" s="18" t="s">
        <v>48</v>
      </c>
      <c r="E18" s="18">
        <v>1</v>
      </c>
      <c r="F18" s="18"/>
      <c r="G18" s="18">
        <v>340</v>
      </c>
      <c r="H18" s="18">
        <v>1800</v>
      </c>
      <c r="I18" s="18">
        <v>1131</v>
      </c>
      <c r="J18" s="18">
        <v>1757</v>
      </c>
    </row>
    <row r="19" spans="1:10" ht="15.9" x14ac:dyDescent="0.45">
      <c r="A19" s="18">
        <v>20018</v>
      </c>
      <c r="B19" s="30">
        <v>44996</v>
      </c>
      <c r="C19" s="30">
        <v>45000</v>
      </c>
      <c r="D19" s="18" t="s">
        <v>18</v>
      </c>
      <c r="E19" s="18">
        <v>1</v>
      </c>
      <c r="F19" s="18"/>
      <c r="G19" s="18">
        <v>340</v>
      </c>
      <c r="H19" s="18">
        <v>1800</v>
      </c>
      <c r="I19" s="18">
        <v>1119</v>
      </c>
      <c r="J19" s="18">
        <v>1793</v>
      </c>
    </row>
    <row r="20" spans="1:10" ht="15.9" x14ac:dyDescent="0.45">
      <c r="A20" s="18">
        <v>20019</v>
      </c>
      <c r="B20" s="30">
        <v>45000</v>
      </c>
      <c r="C20" s="30">
        <v>45004</v>
      </c>
      <c r="D20" s="18" t="s">
        <v>30</v>
      </c>
      <c r="E20" s="18">
        <v>1</v>
      </c>
      <c r="F20" s="18"/>
      <c r="G20" s="18">
        <v>340</v>
      </c>
      <c r="H20" s="18">
        <v>1800</v>
      </c>
      <c r="I20" s="18">
        <v>1102</v>
      </c>
      <c r="J20" s="18">
        <v>1748</v>
      </c>
    </row>
    <row r="21" spans="1:10" ht="15.9" x14ac:dyDescent="0.45">
      <c r="A21" s="18">
        <v>20020</v>
      </c>
      <c r="B21" s="30">
        <v>45004</v>
      </c>
      <c r="C21" s="30">
        <v>45008</v>
      </c>
      <c r="D21" s="18" t="s">
        <v>328</v>
      </c>
      <c r="E21" s="18">
        <v>1</v>
      </c>
      <c r="F21" s="18"/>
      <c r="G21" s="18">
        <v>400</v>
      </c>
      <c r="H21" s="18">
        <v>1800</v>
      </c>
      <c r="I21" s="18">
        <v>1137</v>
      </c>
      <c r="J21" s="18">
        <v>1811</v>
      </c>
    </row>
    <row r="22" spans="1:10" ht="15.9" x14ac:dyDescent="0.45">
      <c r="A22" s="18">
        <v>20021</v>
      </c>
      <c r="B22" s="30">
        <v>45008</v>
      </c>
      <c r="C22" s="30">
        <v>45012</v>
      </c>
      <c r="D22" s="18" t="s">
        <v>43</v>
      </c>
      <c r="E22" s="18">
        <v>1</v>
      </c>
      <c r="F22" s="18"/>
      <c r="G22" s="18">
        <v>400</v>
      </c>
      <c r="H22" s="18">
        <v>1800</v>
      </c>
      <c r="I22" s="18">
        <v>1113</v>
      </c>
      <c r="J22" s="18">
        <v>1835</v>
      </c>
    </row>
    <row r="23" spans="1:10" ht="15.9" x14ac:dyDescent="0.45">
      <c r="A23" s="18">
        <v>20022</v>
      </c>
      <c r="B23" s="30">
        <v>45012</v>
      </c>
      <c r="C23" s="30">
        <v>45016</v>
      </c>
      <c r="D23" s="18" t="s">
        <v>133</v>
      </c>
      <c r="E23" s="18">
        <v>1</v>
      </c>
      <c r="F23" s="18"/>
      <c r="G23" s="18">
        <v>400</v>
      </c>
      <c r="H23" s="18">
        <v>1800</v>
      </c>
      <c r="I23" s="18">
        <v>1150</v>
      </c>
      <c r="J23" s="18">
        <v>1844</v>
      </c>
    </row>
    <row r="24" spans="1:10" ht="15.9" x14ac:dyDescent="0.45">
      <c r="A24" s="18">
        <v>20023</v>
      </c>
      <c r="B24" s="30">
        <v>45016</v>
      </c>
      <c r="C24" s="30">
        <v>45020</v>
      </c>
      <c r="D24" s="18" t="s">
        <v>7</v>
      </c>
      <c r="E24" s="18">
        <v>1</v>
      </c>
      <c r="F24" s="18"/>
      <c r="G24" s="18">
        <v>340</v>
      </c>
      <c r="H24" s="18">
        <v>1800</v>
      </c>
      <c r="I24" s="18">
        <v>1131</v>
      </c>
      <c r="J24" s="18">
        <v>1799</v>
      </c>
    </row>
    <row r="25" spans="1:10" ht="15.9" x14ac:dyDescent="0.45">
      <c r="A25" s="18">
        <v>20024</v>
      </c>
      <c r="B25" s="30">
        <v>45020</v>
      </c>
      <c r="C25" s="30">
        <v>45024</v>
      </c>
      <c r="D25" s="18" t="s">
        <v>16</v>
      </c>
      <c r="E25" s="18">
        <v>1</v>
      </c>
      <c r="F25" s="18"/>
      <c r="G25" s="18">
        <v>340</v>
      </c>
      <c r="H25" s="18">
        <v>1800</v>
      </c>
      <c r="I25" s="18">
        <v>1119</v>
      </c>
      <c r="J25" s="18">
        <v>1784</v>
      </c>
    </row>
    <row r="26" spans="1:10" ht="15.9" x14ac:dyDescent="0.45">
      <c r="A26" s="18">
        <v>20025</v>
      </c>
      <c r="B26" s="30">
        <v>45024</v>
      </c>
      <c r="C26" s="30">
        <v>45028</v>
      </c>
      <c r="D26" s="18" t="s">
        <v>28</v>
      </c>
      <c r="E26" s="18">
        <v>1</v>
      </c>
      <c r="F26" s="18"/>
      <c r="G26" s="18">
        <v>340</v>
      </c>
      <c r="H26" s="18">
        <v>1800</v>
      </c>
      <c r="I26" s="18">
        <v>1102</v>
      </c>
      <c r="J26" s="18">
        <v>1760</v>
      </c>
    </row>
    <row r="27" spans="1:10" ht="15.9" x14ac:dyDescent="0.45">
      <c r="A27" s="18">
        <v>20026</v>
      </c>
      <c r="B27" s="30">
        <v>45028</v>
      </c>
      <c r="C27" s="30">
        <v>45032</v>
      </c>
      <c r="D27" s="18" t="s">
        <v>41</v>
      </c>
      <c r="E27" s="18">
        <v>1</v>
      </c>
      <c r="F27" s="18"/>
      <c r="G27" s="18">
        <v>400</v>
      </c>
      <c r="H27" s="18">
        <v>1800</v>
      </c>
      <c r="I27" s="18">
        <v>1137</v>
      </c>
      <c r="J27" s="18">
        <v>1793</v>
      </c>
    </row>
    <row r="28" spans="1:10" ht="15.9" x14ac:dyDescent="0.45">
      <c r="A28" s="18">
        <v>20027</v>
      </c>
      <c r="B28" s="30">
        <v>45032</v>
      </c>
      <c r="C28" s="30">
        <v>45036</v>
      </c>
      <c r="D28" s="18" t="s">
        <v>7</v>
      </c>
      <c r="E28" s="18">
        <v>1</v>
      </c>
      <c r="F28" s="18"/>
      <c r="G28" s="18">
        <v>400</v>
      </c>
      <c r="H28" s="18">
        <v>1800</v>
      </c>
      <c r="I28" s="18">
        <v>1113</v>
      </c>
      <c r="J28" s="18">
        <v>1814</v>
      </c>
    </row>
    <row r="29" spans="1:10" ht="15.9" x14ac:dyDescent="0.45">
      <c r="A29" s="18">
        <v>20028</v>
      </c>
      <c r="B29" s="30">
        <v>45032</v>
      </c>
      <c r="C29" s="30">
        <v>45036</v>
      </c>
      <c r="D29" s="18" t="s">
        <v>7</v>
      </c>
      <c r="E29" s="18">
        <v>1</v>
      </c>
      <c r="F29" s="18" t="s">
        <v>380</v>
      </c>
      <c r="G29" s="18">
        <v>450</v>
      </c>
      <c r="H29" s="18">
        <v>900</v>
      </c>
      <c r="I29" s="18">
        <v>1113</v>
      </c>
      <c r="J29" s="18">
        <v>1814</v>
      </c>
    </row>
  </sheetData>
  <phoneticPr fontId="9"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37B38-8536-4C10-8C6F-F8CF38734BF6}">
  <sheetPr codeName="Ark4"/>
  <dimension ref="A1:Y70"/>
  <sheetViews>
    <sheetView workbookViewId="0">
      <selection activeCell="A2" sqref="A2:S2"/>
    </sheetView>
  </sheetViews>
  <sheetFormatPr defaultColWidth="8.84375" defaultRowHeight="15" customHeight="1" x14ac:dyDescent="0.4"/>
  <cols>
    <col min="1" max="5" width="20.69140625" style="10" customWidth="1"/>
    <col min="6" max="6" width="237.3828125" style="10" bestFit="1" customWidth="1"/>
    <col min="7" max="7" width="39.3828125" style="10" customWidth="1"/>
    <col min="8" max="8" width="20.69140625" style="10" customWidth="1"/>
    <col min="9" max="9" width="15.3046875" customWidth="1"/>
    <col min="10" max="14" width="20.69140625" style="10" customWidth="1"/>
    <col min="15" max="15" width="20.69140625" style="12" customWidth="1"/>
    <col min="16" max="16" width="27.3046875" style="10" bestFit="1" customWidth="1"/>
    <col min="17" max="17" width="23.69140625" bestFit="1" customWidth="1"/>
    <col min="18" max="18" width="17.53515625" customWidth="1"/>
    <col min="19" max="19" width="32.3046875" customWidth="1"/>
    <col min="20" max="20" width="20.3828125" bestFit="1" customWidth="1"/>
    <col min="21" max="21" width="34.69140625" bestFit="1" customWidth="1"/>
    <col min="22" max="22" width="34.69140625" customWidth="1"/>
    <col min="23" max="23" width="13" bestFit="1" customWidth="1"/>
    <col min="24" max="24" width="10.69140625" bestFit="1" customWidth="1"/>
    <col min="25" max="25" width="13" bestFit="1" customWidth="1"/>
  </cols>
  <sheetData>
    <row r="1" spans="1:25" ht="15" customHeight="1" x14ac:dyDescent="0.4">
      <c r="A1" s="24" t="s">
        <v>3</v>
      </c>
      <c r="B1" s="24" t="s">
        <v>329</v>
      </c>
      <c r="C1" s="24" t="s">
        <v>330</v>
      </c>
      <c r="D1" s="24" t="s">
        <v>331</v>
      </c>
      <c r="E1" s="24" t="s">
        <v>67</v>
      </c>
      <c r="F1" s="24" t="s">
        <v>332</v>
      </c>
      <c r="G1" s="24" t="s">
        <v>333</v>
      </c>
      <c r="H1" s="25" t="s">
        <v>334</v>
      </c>
      <c r="I1" s="26" t="s">
        <v>335</v>
      </c>
      <c r="J1" s="25" t="s">
        <v>336</v>
      </c>
      <c r="K1" s="27" t="s">
        <v>337</v>
      </c>
      <c r="L1" s="27" t="s">
        <v>338</v>
      </c>
      <c r="M1" s="25" t="s">
        <v>339</v>
      </c>
      <c r="N1" s="27" t="s">
        <v>340</v>
      </c>
      <c r="O1" s="28" t="s">
        <v>341</v>
      </c>
      <c r="P1" s="25" t="s">
        <v>342</v>
      </c>
      <c r="Q1" s="26" t="s">
        <v>343</v>
      </c>
      <c r="R1" s="26" t="s">
        <v>344</v>
      </c>
      <c r="S1" s="26" t="s">
        <v>1</v>
      </c>
      <c r="T1" s="4"/>
      <c r="U1" s="4"/>
      <c r="V1" s="4"/>
      <c r="W1" s="4"/>
      <c r="X1" s="4"/>
      <c r="Y1" s="4"/>
    </row>
    <row r="2" spans="1:25" ht="15" customHeight="1" x14ac:dyDescent="0.4">
      <c r="A2" s="5" t="s">
        <v>59</v>
      </c>
      <c r="B2" s="5" t="s">
        <v>345</v>
      </c>
      <c r="C2" s="5" t="s">
        <v>346</v>
      </c>
      <c r="D2" s="5" t="s">
        <v>347</v>
      </c>
      <c r="E2" s="5" t="s">
        <v>75</v>
      </c>
      <c r="F2" s="5" t="s">
        <v>348</v>
      </c>
      <c r="G2" s="5" t="s">
        <v>349</v>
      </c>
      <c r="H2" s="6">
        <v>1800</v>
      </c>
      <c r="I2" s="6">
        <v>340</v>
      </c>
      <c r="J2" s="11">
        <v>50</v>
      </c>
      <c r="K2" s="8">
        <v>36</v>
      </c>
      <c r="L2" s="8">
        <v>5.5</v>
      </c>
      <c r="M2" s="8" t="s">
        <v>350</v>
      </c>
      <c r="N2" s="8" t="s">
        <v>351</v>
      </c>
      <c r="O2" s="7">
        <v>0.7</v>
      </c>
      <c r="P2" s="9" t="s">
        <v>352</v>
      </c>
      <c r="Q2" t="s">
        <v>353</v>
      </c>
      <c r="R2" t="s">
        <v>354</v>
      </c>
      <c r="S2" s="1">
        <v>1010</v>
      </c>
      <c r="T2" s="2"/>
      <c r="U2" s="3"/>
      <c r="V2" s="3"/>
      <c r="W2" s="2"/>
      <c r="X2" s="2"/>
      <c r="Y2" s="2"/>
    </row>
    <row r="3" spans="1:25" ht="15" customHeight="1" x14ac:dyDescent="0.4">
      <c r="A3" s="5" t="s">
        <v>60</v>
      </c>
      <c r="B3" s="5" t="s">
        <v>345</v>
      </c>
      <c r="C3" s="5" t="s">
        <v>346</v>
      </c>
      <c r="D3" s="5" t="s">
        <v>347</v>
      </c>
      <c r="E3" s="5" t="s">
        <v>75</v>
      </c>
      <c r="F3" s="5" t="s">
        <v>348</v>
      </c>
      <c r="G3" s="5" t="s">
        <v>349</v>
      </c>
      <c r="H3" s="6">
        <v>1800</v>
      </c>
      <c r="I3" s="6">
        <v>340</v>
      </c>
      <c r="J3" s="11">
        <v>50</v>
      </c>
      <c r="K3" s="8">
        <v>37</v>
      </c>
      <c r="L3" s="8">
        <v>6.5</v>
      </c>
      <c r="M3" s="8" t="s">
        <v>350</v>
      </c>
      <c r="N3" s="8" t="s">
        <v>351</v>
      </c>
      <c r="O3" s="7">
        <v>0.7</v>
      </c>
      <c r="P3" s="9" t="s">
        <v>352</v>
      </c>
      <c r="Q3" t="s">
        <v>353</v>
      </c>
      <c r="R3" t="s">
        <v>354</v>
      </c>
      <c r="S3" s="1">
        <v>1010</v>
      </c>
      <c r="T3" s="2"/>
      <c r="U3" s="2"/>
      <c r="V3" s="2"/>
      <c r="W3" s="2"/>
      <c r="X3" s="2"/>
      <c r="Y3" s="2"/>
    </row>
    <row r="4" spans="1:25" ht="15" customHeight="1" x14ac:dyDescent="0.4">
      <c r="A4" s="5" t="s">
        <v>58</v>
      </c>
      <c r="B4" s="5" t="s">
        <v>345</v>
      </c>
      <c r="C4" s="5" t="s">
        <v>346</v>
      </c>
      <c r="D4" s="5" t="s">
        <v>347</v>
      </c>
      <c r="E4" s="5" t="s">
        <v>75</v>
      </c>
      <c r="F4" s="5" t="s">
        <v>348</v>
      </c>
      <c r="G4" s="5" t="s">
        <v>349</v>
      </c>
      <c r="H4" s="6">
        <v>1800</v>
      </c>
      <c r="I4" s="6">
        <v>340</v>
      </c>
      <c r="J4" s="11">
        <v>50</v>
      </c>
      <c r="K4" s="8">
        <v>38</v>
      </c>
      <c r="L4" s="8">
        <v>7.5</v>
      </c>
      <c r="M4" s="8" t="s">
        <v>350</v>
      </c>
      <c r="N4" s="8" t="s">
        <v>351</v>
      </c>
      <c r="O4" s="7">
        <v>0.7</v>
      </c>
      <c r="P4" s="9" t="s">
        <v>352</v>
      </c>
      <c r="Q4" t="s">
        <v>353</v>
      </c>
      <c r="R4" t="s">
        <v>354</v>
      </c>
      <c r="S4" s="1">
        <v>1010</v>
      </c>
      <c r="T4" s="2"/>
      <c r="U4" s="2"/>
      <c r="V4" s="2"/>
      <c r="W4" s="2"/>
      <c r="X4" s="2"/>
      <c r="Y4" s="2"/>
    </row>
    <row r="5" spans="1:25" ht="15" customHeight="1" x14ac:dyDescent="0.4">
      <c r="A5" s="5" t="s">
        <v>57</v>
      </c>
      <c r="B5" s="5" t="s">
        <v>345</v>
      </c>
      <c r="C5" s="5" t="s">
        <v>346</v>
      </c>
      <c r="D5" s="5" t="s">
        <v>347</v>
      </c>
      <c r="E5" s="5" t="s">
        <v>75</v>
      </c>
      <c r="F5" s="5" t="s">
        <v>348</v>
      </c>
      <c r="G5" s="5" t="s">
        <v>349</v>
      </c>
      <c r="H5" s="6">
        <v>1800</v>
      </c>
      <c r="I5" s="6">
        <v>340</v>
      </c>
      <c r="J5" s="11">
        <v>50</v>
      </c>
      <c r="K5" s="8">
        <v>39</v>
      </c>
      <c r="L5" s="8">
        <v>8.5</v>
      </c>
      <c r="M5" s="8" t="s">
        <v>350</v>
      </c>
      <c r="N5" s="8" t="s">
        <v>351</v>
      </c>
      <c r="O5" s="7">
        <v>0.7</v>
      </c>
      <c r="P5" s="9" t="s">
        <v>352</v>
      </c>
      <c r="Q5" t="s">
        <v>353</v>
      </c>
      <c r="R5" t="s">
        <v>354</v>
      </c>
      <c r="S5" s="1">
        <v>1010</v>
      </c>
      <c r="T5" s="2"/>
      <c r="U5" s="2"/>
      <c r="V5" s="2"/>
      <c r="W5" s="2"/>
      <c r="X5" s="2"/>
      <c r="Y5" s="2"/>
    </row>
    <row r="6" spans="1:25" ht="15" customHeight="1" x14ac:dyDescent="0.4">
      <c r="A6" s="5" t="s">
        <v>133</v>
      </c>
      <c r="B6" s="5" t="s">
        <v>345</v>
      </c>
      <c r="C6" s="5" t="s">
        <v>346</v>
      </c>
      <c r="D6" s="5" t="s">
        <v>347</v>
      </c>
      <c r="E6" s="5" t="s">
        <v>75</v>
      </c>
      <c r="F6" s="5" t="s">
        <v>348</v>
      </c>
      <c r="G6" s="5" t="s">
        <v>349</v>
      </c>
      <c r="H6" s="6">
        <v>1800</v>
      </c>
      <c r="I6" s="6">
        <v>340</v>
      </c>
      <c r="J6" s="11">
        <v>50</v>
      </c>
      <c r="K6" s="8">
        <v>40</v>
      </c>
      <c r="L6" s="8">
        <v>9.5</v>
      </c>
      <c r="M6" s="8" t="s">
        <v>350</v>
      </c>
      <c r="N6" s="8" t="s">
        <v>351</v>
      </c>
      <c r="O6" s="7">
        <v>0.7</v>
      </c>
      <c r="P6" s="9" t="s">
        <v>352</v>
      </c>
      <c r="Q6" t="s">
        <v>353</v>
      </c>
      <c r="R6" t="s">
        <v>354</v>
      </c>
      <c r="S6" s="1">
        <v>1010</v>
      </c>
      <c r="T6" s="2"/>
      <c r="U6" s="2"/>
      <c r="V6" s="2"/>
      <c r="W6" s="2"/>
      <c r="X6" s="2"/>
      <c r="Y6" s="2"/>
    </row>
    <row r="7" spans="1:25" ht="15" customHeight="1" x14ac:dyDescent="0.4">
      <c r="A7" s="5" t="s">
        <v>64</v>
      </c>
      <c r="B7" s="5" t="s">
        <v>345</v>
      </c>
      <c r="C7" s="5" t="s">
        <v>346</v>
      </c>
      <c r="D7" s="5" t="s">
        <v>347</v>
      </c>
      <c r="E7" s="5" t="s">
        <v>75</v>
      </c>
      <c r="F7" s="5" t="s">
        <v>348</v>
      </c>
      <c r="G7" s="5" t="s">
        <v>349</v>
      </c>
      <c r="H7" s="6">
        <v>1800</v>
      </c>
      <c r="I7" s="6">
        <v>340</v>
      </c>
      <c r="J7" s="11">
        <v>50</v>
      </c>
      <c r="K7" s="8">
        <v>41</v>
      </c>
      <c r="L7" s="8">
        <v>10.5</v>
      </c>
      <c r="M7" s="8" t="s">
        <v>350</v>
      </c>
      <c r="N7" s="8" t="s">
        <v>351</v>
      </c>
      <c r="O7" s="7">
        <v>0.7</v>
      </c>
      <c r="P7" s="9" t="s">
        <v>352</v>
      </c>
      <c r="Q7" t="s">
        <v>353</v>
      </c>
      <c r="R7" t="s">
        <v>354</v>
      </c>
      <c r="S7" s="1">
        <v>1010</v>
      </c>
      <c r="T7" s="2"/>
      <c r="U7" s="2"/>
      <c r="V7" s="2"/>
      <c r="W7" s="2"/>
      <c r="X7" s="2"/>
      <c r="Y7" s="2"/>
    </row>
    <row r="8" spans="1:25" ht="15" customHeight="1" x14ac:dyDescent="0.4">
      <c r="A8" s="5" t="s">
        <v>61</v>
      </c>
      <c r="B8" s="5" t="s">
        <v>345</v>
      </c>
      <c r="C8" s="5" t="s">
        <v>346</v>
      </c>
      <c r="D8" s="5" t="s">
        <v>347</v>
      </c>
      <c r="E8" s="5" t="s">
        <v>75</v>
      </c>
      <c r="F8" s="5" t="s">
        <v>348</v>
      </c>
      <c r="G8" s="5" t="s">
        <v>349</v>
      </c>
      <c r="H8" s="6">
        <v>1800</v>
      </c>
      <c r="I8" s="6">
        <v>340</v>
      </c>
      <c r="J8" s="11">
        <v>50</v>
      </c>
      <c r="K8" s="8">
        <v>42</v>
      </c>
      <c r="L8" s="8">
        <v>11.5</v>
      </c>
      <c r="M8" s="8" t="s">
        <v>350</v>
      </c>
      <c r="N8" s="8" t="s">
        <v>351</v>
      </c>
      <c r="O8" s="7">
        <v>0.7</v>
      </c>
      <c r="P8" s="9" t="s">
        <v>352</v>
      </c>
      <c r="Q8" t="s">
        <v>353</v>
      </c>
      <c r="R8" t="s">
        <v>354</v>
      </c>
      <c r="S8" s="1">
        <v>1010</v>
      </c>
      <c r="T8" s="2"/>
      <c r="U8" s="2"/>
      <c r="V8" s="2"/>
      <c r="W8" s="2"/>
      <c r="X8" s="2"/>
      <c r="Y8" s="2"/>
    </row>
    <row r="9" spans="1:25" ht="15" customHeight="1" x14ac:dyDescent="0.4">
      <c r="A9" s="5" t="s">
        <v>56</v>
      </c>
      <c r="B9" s="5" t="s">
        <v>345</v>
      </c>
      <c r="C9" s="5" t="s">
        <v>346</v>
      </c>
      <c r="D9" s="5" t="s">
        <v>347</v>
      </c>
      <c r="E9" s="5" t="s">
        <v>75</v>
      </c>
      <c r="F9" s="5" t="s">
        <v>348</v>
      </c>
      <c r="G9" s="5" t="s">
        <v>349</v>
      </c>
      <c r="H9" s="6">
        <v>1800</v>
      </c>
      <c r="I9" s="6">
        <v>340</v>
      </c>
      <c r="J9" s="11">
        <v>50</v>
      </c>
      <c r="K9" s="8">
        <v>43</v>
      </c>
      <c r="L9" s="8">
        <v>12.5</v>
      </c>
      <c r="M9" s="8" t="s">
        <v>350</v>
      </c>
      <c r="N9" s="8" t="s">
        <v>351</v>
      </c>
      <c r="O9" s="7">
        <v>0.7</v>
      </c>
      <c r="P9" s="9" t="s">
        <v>352</v>
      </c>
      <c r="Q9" t="s">
        <v>353</v>
      </c>
      <c r="R9" t="s">
        <v>354</v>
      </c>
      <c r="S9" s="1">
        <v>1010</v>
      </c>
      <c r="T9" s="2"/>
      <c r="U9" s="2"/>
      <c r="V9" s="2"/>
      <c r="W9" s="2"/>
      <c r="X9" s="2"/>
      <c r="Y9" s="2"/>
    </row>
    <row r="10" spans="1:25" ht="15" customHeight="1" x14ac:dyDescent="0.4">
      <c r="A10" s="5" t="s">
        <v>134</v>
      </c>
      <c r="B10" s="5" t="s">
        <v>345</v>
      </c>
      <c r="C10" s="5" t="s">
        <v>346</v>
      </c>
      <c r="D10" s="5" t="s">
        <v>347</v>
      </c>
      <c r="E10" s="5" t="s">
        <v>90</v>
      </c>
      <c r="F10" s="5" t="s">
        <v>348</v>
      </c>
      <c r="G10" s="5" t="s">
        <v>349</v>
      </c>
      <c r="H10" s="6">
        <v>1800</v>
      </c>
      <c r="I10" s="6">
        <v>340</v>
      </c>
      <c r="J10" s="11">
        <v>50</v>
      </c>
      <c r="K10" s="8">
        <v>38</v>
      </c>
      <c r="L10" s="8">
        <v>7.5</v>
      </c>
      <c r="M10" s="8" t="s">
        <v>355</v>
      </c>
      <c r="N10" s="8" t="s">
        <v>351</v>
      </c>
      <c r="O10" s="7">
        <v>0.7</v>
      </c>
      <c r="P10" s="9" t="s">
        <v>352</v>
      </c>
      <c r="Q10" t="s">
        <v>353</v>
      </c>
      <c r="R10" t="s">
        <v>354</v>
      </c>
      <c r="S10" s="1">
        <v>1010</v>
      </c>
      <c r="T10" s="2"/>
      <c r="U10" s="2"/>
      <c r="V10" s="2"/>
      <c r="W10" s="2"/>
      <c r="X10" s="2"/>
      <c r="Y10" s="2"/>
    </row>
    <row r="11" spans="1:25" ht="15" customHeight="1" x14ac:dyDescent="0.4">
      <c r="A11" s="5" t="s">
        <v>135</v>
      </c>
      <c r="B11" s="5" t="s">
        <v>345</v>
      </c>
      <c r="C11" s="5" t="s">
        <v>346</v>
      </c>
      <c r="D11" s="5" t="s">
        <v>347</v>
      </c>
      <c r="E11" s="5" t="s">
        <v>90</v>
      </c>
      <c r="F11" s="5" t="s">
        <v>348</v>
      </c>
      <c r="G11" s="5" t="s">
        <v>349</v>
      </c>
      <c r="H11" s="6">
        <v>1800</v>
      </c>
      <c r="I11" s="6">
        <v>340</v>
      </c>
      <c r="J11" s="11">
        <v>50</v>
      </c>
      <c r="K11" s="8">
        <v>39</v>
      </c>
      <c r="L11" s="8">
        <v>8.5</v>
      </c>
      <c r="M11" s="8" t="s">
        <v>355</v>
      </c>
      <c r="N11" s="8" t="s">
        <v>351</v>
      </c>
      <c r="O11" s="7">
        <v>0.7</v>
      </c>
      <c r="P11" s="9" t="s">
        <v>352</v>
      </c>
      <c r="Q11" t="s">
        <v>353</v>
      </c>
      <c r="R11" t="s">
        <v>354</v>
      </c>
      <c r="S11" s="1">
        <v>1010</v>
      </c>
      <c r="T11" s="2"/>
      <c r="U11" s="2"/>
      <c r="V11" s="2"/>
      <c r="W11" s="2"/>
      <c r="X11" s="2"/>
      <c r="Y11" s="2"/>
    </row>
    <row r="12" spans="1:25" ht="15" customHeight="1" x14ac:dyDescent="0.4">
      <c r="A12" s="5" t="s">
        <v>136</v>
      </c>
      <c r="B12" s="5" t="s">
        <v>345</v>
      </c>
      <c r="C12" s="5" t="s">
        <v>346</v>
      </c>
      <c r="D12" s="5" t="s">
        <v>347</v>
      </c>
      <c r="E12" s="5" t="s">
        <v>90</v>
      </c>
      <c r="F12" s="5" t="s">
        <v>348</v>
      </c>
      <c r="G12" s="5" t="s">
        <v>349</v>
      </c>
      <c r="H12" s="6">
        <v>1800</v>
      </c>
      <c r="I12" s="6">
        <v>340</v>
      </c>
      <c r="J12" s="11">
        <v>50</v>
      </c>
      <c r="K12" s="8">
        <v>40</v>
      </c>
      <c r="L12" s="8">
        <v>9.5</v>
      </c>
      <c r="M12" s="8" t="s">
        <v>355</v>
      </c>
      <c r="N12" s="8" t="s">
        <v>351</v>
      </c>
      <c r="O12" s="7">
        <v>0.7</v>
      </c>
      <c r="P12" s="9" t="s">
        <v>352</v>
      </c>
      <c r="Q12" t="s">
        <v>353</v>
      </c>
      <c r="R12" t="s">
        <v>354</v>
      </c>
      <c r="S12" s="1">
        <v>1010</v>
      </c>
      <c r="T12" s="2"/>
      <c r="U12" s="2"/>
      <c r="V12" s="2"/>
      <c r="W12" s="2"/>
      <c r="X12" s="2"/>
      <c r="Y12" s="2"/>
    </row>
    <row r="13" spans="1:25" ht="15" customHeight="1" x14ac:dyDescent="0.4">
      <c r="A13" s="5" t="s">
        <v>137</v>
      </c>
      <c r="B13" s="5" t="s">
        <v>345</v>
      </c>
      <c r="C13" s="5" t="s">
        <v>346</v>
      </c>
      <c r="D13" s="5" t="s">
        <v>347</v>
      </c>
      <c r="E13" s="5" t="s">
        <v>90</v>
      </c>
      <c r="F13" s="5" t="s">
        <v>348</v>
      </c>
      <c r="G13" s="5" t="s">
        <v>349</v>
      </c>
      <c r="H13" s="6">
        <v>1800</v>
      </c>
      <c r="I13" s="6">
        <v>340</v>
      </c>
      <c r="J13" s="11">
        <v>50</v>
      </c>
      <c r="K13" s="8">
        <v>41</v>
      </c>
      <c r="L13" s="8">
        <v>10.5</v>
      </c>
      <c r="M13" s="8" t="s">
        <v>355</v>
      </c>
      <c r="N13" s="8" t="s">
        <v>351</v>
      </c>
      <c r="O13" s="7">
        <v>0.7</v>
      </c>
      <c r="P13" s="9" t="s">
        <v>352</v>
      </c>
      <c r="Q13" t="s">
        <v>353</v>
      </c>
      <c r="R13" t="s">
        <v>354</v>
      </c>
      <c r="S13" s="1">
        <v>1010</v>
      </c>
      <c r="T13" s="2"/>
      <c r="U13" s="2"/>
      <c r="V13" s="2"/>
      <c r="W13" s="2"/>
      <c r="X13" s="2"/>
      <c r="Y13" s="2"/>
    </row>
    <row r="14" spans="1:25" ht="15" customHeight="1" x14ac:dyDescent="0.4">
      <c r="A14" s="5" t="s">
        <v>138</v>
      </c>
      <c r="B14" s="5" t="s">
        <v>345</v>
      </c>
      <c r="C14" s="5" t="s">
        <v>346</v>
      </c>
      <c r="D14" s="5" t="s">
        <v>347</v>
      </c>
      <c r="E14" s="5" t="s">
        <v>90</v>
      </c>
      <c r="F14" s="5" t="s">
        <v>348</v>
      </c>
      <c r="G14" s="5" t="s">
        <v>349</v>
      </c>
      <c r="H14" s="6">
        <v>1800</v>
      </c>
      <c r="I14" s="6">
        <v>340</v>
      </c>
      <c r="J14" s="11">
        <v>50</v>
      </c>
      <c r="K14" s="8">
        <v>42</v>
      </c>
      <c r="L14" s="8">
        <v>11.5</v>
      </c>
      <c r="M14" s="8" t="s">
        <v>355</v>
      </c>
      <c r="N14" s="8" t="s">
        <v>351</v>
      </c>
      <c r="O14" s="7">
        <v>0.7</v>
      </c>
      <c r="P14" s="9" t="s">
        <v>352</v>
      </c>
      <c r="Q14" t="s">
        <v>353</v>
      </c>
      <c r="R14" t="s">
        <v>354</v>
      </c>
      <c r="S14" s="1">
        <v>1010</v>
      </c>
      <c r="T14" s="2"/>
      <c r="U14" s="2"/>
      <c r="V14" s="2"/>
      <c r="W14" s="2"/>
      <c r="X14" s="2"/>
      <c r="Y14" s="2"/>
    </row>
    <row r="15" spans="1:25" ht="15" customHeight="1" x14ac:dyDescent="0.4">
      <c r="A15" s="5" t="s">
        <v>62</v>
      </c>
      <c r="B15" s="5" t="s">
        <v>345</v>
      </c>
      <c r="C15" s="5" t="s">
        <v>346</v>
      </c>
      <c r="D15" s="5" t="s">
        <v>347</v>
      </c>
      <c r="E15" s="5" t="s">
        <v>90</v>
      </c>
      <c r="F15" s="5" t="s">
        <v>348</v>
      </c>
      <c r="G15" s="5" t="s">
        <v>349</v>
      </c>
      <c r="H15" s="6">
        <v>1800</v>
      </c>
      <c r="I15" s="6">
        <v>340</v>
      </c>
      <c r="J15" s="11">
        <v>50</v>
      </c>
      <c r="K15" s="8">
        <v>43</v>
      </c>
      <c r="L15" s="8">
        <v>12.5</v>
      </c>
      <c r="M15" s="8" t="s">
        <v>355</v>
      </c>
      <c r="N15" s="8" t="s">
        <v>351</v>
      </c>
      <c r="O15" s="7">
        <v>0.7</v>
      </c>
      <c r="P15" s="9" t="s">
        <v>352</v>
      </c>
      <c r="Q15" t="s">
        <v>353</v>
      </c>
      <c r="R15" t="s">
        <v>354</v>
      </c>
      <c r="S15" s="1">
        <v>1010</v>
      </c>
      <c r="T15" s="2"/>
      <c r="U15" s="2"/>
      <c r="V15" s="2"/>
      <c r="W15" s="2"/>
      <c r="X15" s="2"/>
      <c r="Y15" s="2"/>
    </row>
    <row r="16" spans="1:25" ht="15" customHeight="1" x14ac:dyDescent="0.4">
      <c r="A16" s="5" t="s">
        <v>139</v>
      </c>
      <c r="B16" s="5" t="s">
        <v>345</v>
      </c>
      <c r="C16" s="5" t="s">
        <v>346</v>
      </c>
      <c r="D16" s="5" t="s">
        <v>347</v>
      </c>
      <c r="E16" s="5" t="s">
        <v>90</v>
      </c>
      <c r="F16" s="5" t="s">
        <v>348</v>
      </c>
      <c r="G16" s="5" t="s">
        <v>349</v>
      </c>
      <c r="H16" s="6">
        <v>1800</v>
      </c>
      <c r="I16" s="6">
        <v>340</v>
      </c>
      <c r="J16" s="11">
        <v>50</v>
      </c>
      <c r="K16" s="8">
        <v>44</v>
      </c>
      <c r="L16" s="8">
        <v>13.5</v>
      </c>
      <c r="M16" s="8" t="s">
        <v>355</v>
      </c>
      <c r="N16" s="8" t="s">
        <v>351</v>
      </c>
      <c r="O16" s="7">
        <v>0.7</v>
      </c>
      <c r="P16" s="9" t="s">
        <v>352</v>
      </c>
      <c r="Q16" t="s">
        <v>353</v>
      </c>
      <c r="R16" t="s">
        <v>354</v>
      </c>
      <c r="S16" s="1">
        <v>1010</v>
      </c>
      <c r="T16" s="2"/>
      <c r="U16" s="2"/>
      <c r="V16" s="2"/>
      <c r="W16" s="2"/>
      <c r="X16" s="2"/>
      <c r="Y16" s="2"/>
    </row>
    <row r="17" spans="1:25" ht="15" customHeight="1" x14ac:dyDescent="0.4">
      <c r="A17" s="5" t="s">
        <v>63</v>
      </c>
      <c r="B17" s="5" t="s">
        <v>345</v>
      </c>
      <c r="C17" s="5" t="s">
        <v>346</v>
      </c>
      <c r="D17" s="5" t="s">
        <v>347</v>
      </c>
      <c r="E17" s="5" t="s">
        <v>90</v>
      </c>
      <c r="F17" s="5" t="s">
        <v>348</v>
      </c>
      <c r="G17" s="5" t="s">
        <v>349</v>
      </c>
      <c r="H17" s="6">
        <v>1800</v>
      </c>
      <c r="I17" s="6">
        <v>340</v>
      </c>
      <c r="J17" s="11">
        <v>50</v>
      </c>
      <c r="K17" s="8">
        <v>45</v>
      </c>
      <c r="L17" s="8">
        <v>14.5</v>
      </c>
      <c r="M17" s="8" t="s">
        <v>355</v>
      </c>
      <c r="N17" s="8" t="s">
        <v>351</v>
      </c>
      <c r="O17" s="7">
        <v>0.7</v>
      </c>
      <c r="P17" s="9" t="s">
        <v>352</v>
      </c>
      <c r="Q17" t="s">
        <v>353</v>
      </c>
      <c r="R17" t="s">
        <v>354</v>
      </c>
      <c r="S17" s="1">
        <v>1010</v>
      </c>
      <c r="T17" s="2"/>
      <c r="U17" s="2"/>
      <c r="V17" s="2"/>
      <c r="W17" s="2"/>
      <c r="X17" s="2"/>
      <c r="Y17" s="2"/>
    </row>
    <row r="18" spans="1:25" ht="15" customHeight="1" x14ac:dyDescent="0.4">
      <c r="A18" s="5" t="s">
        <v>140</v>
      </c>
      <c r="B18" s="5" t="s">
        <v>345</v>
      </c>
      <c r="C18" s="5" t="s">
        <v>346</v>
      </c>
      <c r="D18" s="5" t="s">
        <v>347</v>
      </c>
      <c r="E18" s="5" t="s">
        <v>90</v>
      </c>
      <c r="F18" s="5" t="s">
        <v>348</v>
      </c>
      <c r="G18" s="5" t="s">
        <v>349</v>
      </c>
      <c r="H18" s="6">
        <v>1800</v>
      </c>
      <c r="I18" s="6">
        <v>340</v>
      </c>
      <c r="J18" s="11">
        <v>50</v>
      </c>
      <c r="K18" s="8">
        <v>46</v>
      </c>
      <c r="L18" s="8">
        <v>15.5</v>
      </c>
      <c r="M18" s="8" t="s">
        <v>355</v>
      </c>
      <c r="N18" s="8" t="s">
        <v>351</v>
      </c>
      <c r="O18" s="7">
        <v>0.7</v>
      </c>
      <c r="P18" s="9" t="s">
        <v>352</v>
      </c>
      <c r="Q18" t="s">
        <v>353</v>
      </c>
      <c r="R18" t="s">
        <v>354</v>
      </c>
      <c r="S18" s="1">
        <v>1010</v>
      </c>
      <c r="T18" s="2"/>
      <c r="U18" s="2"/>
      <c r="V18" s="2"/>
      <c r="W18" s="2"/>
      <c r="X18" s="2"/>
      <c r="Y18" s="2"/>
    </row>
    <row r="19" spans="1:25" ht="15" customHeight="1" x14ac:dyDescent="0.4">
      <c r="A19" s="5" t="s">
        <v>42</v>
      </c>
      <c r="B19" s="5" t="s">
        <v>345</v>
      </c>
      <c r="C19" s="5" t="s">
        <v>356</v>
      </c>
      <c r="D19" s="5" t="s">
        <v>357</v>
      </c>
      <c r="E19" s="5" t="s">
        <v>75</v>
      </c>
      <c r="F19" s="5" t="s">
        <v>358</v>
      </c>
      <c r="G19" s="5" t="s">
        <v>359</v>
      </c>
      <c r="H19" s="6">
        <v>1800</v>
      </c>
      <c r="I19" s="6">
        <v>340</v>
      </c>
      <c r="J19" s="11">
        <v>50</v>
      </c>
      <c r="K19" s="8">
        <v>36</v>
      </c>
      <c r="L19" s="8">
        <v>5.5</v>
      </c>
      <c r="M19" s="8" t="s">
        <v>360</v>
      </c>
      <c r="N19" s="8" t="s">
        <v>361</v>
      </c>
      <c r="O19" s="7">
        <v>0.8</v>
      </c>
      <c r="P19" s="9" t="s">
        <v>362</v>
      </c>
      <c r="Q19" t="s">
        <v>353</v>
      </c>
      <c r="R19" s="2" t="s">
        <v>363</v>
      </c>
      <c r="S19" s="1">
        <v>1010</v>
      </c>
      <c r="T19" s="2"/>
      <c r="U19" s="2"/>
      <c r="V19" s="2"/>
      <c r="W19" s="2"/>
      <c r="X19" s="2"/>
      <c r="Y19" s="2"/>
    </row>
    <row r="20" spans="1:25" ht="15" customHeight="1" x14ac:dyDescent="0.4">
      <c r="A20" s="5" t="s">
        <v>43</v>
      </c>
      <c r="B20" s="5" t="s">
        <v>345</v>
      </c>
      <c r="C20" s="5" t="s">
        <v>356</v>
      </c>
      <c r="D20" s="5" t="s">
        <v>357</v>
      </c>
      <c r="E20" s="5" t="s">
        <v>75</v>
      </c>
      <c r="F20" s="5" t="s">
        <v>358</v>
      </c>
      <c r="G20" s="5" t="s">
        <v>359</v>
      </c>
      <c r="H20" s="6">
        <v>1800</v>
      </c>
      <c r="I20" s="6">
        <v>340</v>
      </c>
      <c r="J20" s="11">
        <v>50</v>
      </c>
      <c r="K20" s="8">
        <v>37</v>
      </c>
      <c r="L20" s="8">
        <v>6.5</v>
      </c>
      <c r="M20" s="8" t="s">
        <v>360</v>
      </c>
      <c r="N20" s="8" t="s">
        <v>361</v>
      </c>
      <c r="O20" s="7">
        <v>0.8</v>
      </c>
      <c r="P20" s="9" t="s">
        <v>362</v>
      </c>
      <c r="Q20" t="s">
        <v>353</v>
      </c>
      <c r="R20" s="2" t="s">
        <v>363</v>
      </c>
      <c r="S20" s="1">
        <v>1010</v>
      </c>
      <c r="T20" s="2"/>
      <c r="U20" s="2"/>
      <c r="V20" s="2"/>
      <c r="W20" s="2"/>
      <c r="X20" s="2"/>
      <c r="Y20" s="2"/>
    </row>
    <row r="21" spans="1:25" ht="15" customHeight="1" x14ac:dyDescent="0.4">
      <c r="A21" s="5" t="s">
        <v>44</v>
      </c>
      <c r="B21" s="5" t="s">
        <v>345</v>
      </c>
      <c r="C21" s="5" t="s">
        <v>356</v>
      </c>
      <c r="D21" s="5" t="s">
        <v>357</v>
      </c>
      <c r="E21" s="5" t="s">
        <v>75</v>
      </c>
      <c r="F21" s="5" t="s">
        <v>358</v>
      </c>
      <c r="G21" s="5" t="s">
        <v>359</v>
      </c>
      <c r="H21" s="6">
        <v>1800</v>
      </c>
      <c r="I21" s="6">
        <v>340</v>
      </c>
      <c r="J21" s="11">
        <v>50</v>
      </c>
      <c r="K21" s="8">
        <v>38</v>
      </c>
      <c r="L21" s="8">
        <v>7.5</v>
      </c>
      <c r="M21" s="8" t="s">
        <v>360</v>
      </c>
      <c r="N21" s="8" t="s">
        <v>361</v>
      </c>
      <c r="O21" s="7">
        <v>0.8</v>
      </c>
      <c r="P21" s="9" t="s">
        <v>362</v>
      </c>
      <c r="Q21" t="s">
        <v>353</v>
      </c>
      <c r="R21" s="2" t="s">
        <v>363</v>
      </c>
      <c r="S21" s="1">
        <v>1010</v>
      </c>
      <c r="T21" s="2"/>
      <c r="U21" s="2"/>
      <c r="V21" s="2"/>
      <c r="W21" s="2"/>
      <c r="X21" s="2"/>
      <c r="Y21" s="2"/>
    </row>
    <row r="22" spans="1:25" ht="15" customHeight="1" x14ac:dyDescent="0.4">
      <c r="A22" s="5" t="s">
        <v>45</v>
      </c>
      <c r="B22" s="5" t="s">
        <v>345</v>
      </c>
      <c r="C22" s="5" t="s">
        <v>356</v>
      </c>
      <c r="D22" s="5" t="s">
        <v>357</v>
      </c>
      <c r="E22" s="5" t="s">
        <v>75</v>
      </c>
      <c r="F22" s="5" t="s">
        <v>358</v>
      </c>
      <c r="G22" s="5" t="s">
        <v>359</v>
      </c>
      <c r="H22" s="6">
        <v>1800</v>
      </c>
      <c r="I22" s="6">
        <v>340</v>
      </c>
      <c r="J22" s="11">
        <v>50</v>
      </c>
      <c r="K22" s="8">
        <v>39</v>
      </c>
      <c r="L22" s="8">
        <v>8.5</v>
      </c>
      <c r="M22" s="8" t="s">
        <v>360</v>
      </c>
      <c r="N22" s="8" t="s">
        <v>361</v>
      </c>
      <c r="O22" s="7">
        <v>0.8</v>
      </c>
      <c r="P22" s="9" t="s">
        <v>362</v>
      </c>
      <c r="Q22" t="s">
        <v>353</v>
      </c>
      <c r="R22" s="2" t="s">
        <v>363</v>
      </c>
      <c r="S22" s="1">
        <v>1010</v>
      </c>
      <c r="T22" s="2"/>
      <c r="U22" s="2"/>
      <c r="V22" s="2"/>
      <c r="W22" s="2"/>
      <c r="X22" s="2"/>
      <c r="Y22" s="2"/>
    </row>
    <row r="23" spans="1:25" ht="15" customHeight="1" x14ac:dyDescent="0.4">
      <c r="A23" s="5" t="s">
        <v>46</v>
      </c>
      <c r="B23" s="5" t="s">
        <v>345</v>
      </c>
      <c r="C23" s="5" t="s">
        <v>356</v>
      </c>
      <c r="D23" s="5" t="s">
        <v>357</v>
      </c>
      <c r="E23" s="5" t="s">
        <v>75</v>
      </c>
      <c r="F23" s="5" t="s">
        <v>358</v>
      </c>
      <c r="G23" s="5" t="s">
        <v>359</v>
      </c>
      <c r="H23" s="6">
        <v>1800</v>
      </c>
      <c r="I23" s="6">
        <v>340</v>
      </c>
      <c r="J23" s="11">
        <v>50</v>
      </c>
      <c r="K23" s="8">
        <v>40</v>
      </c>
      <c r="L23" s="8">
        <v>9.5</v>
      </c>
      <c r="M23" s="8" t="s">
        <v>360</v>
      </c>
      <c r="N23" s="8" t="s">
        <v>361</v>
      </c>
      <c r="O23" s="7">
        <v>0.8</v>
      </c>
      <c r="P23" s="9" t="s">
        <v>362</v>
      </c>
      <c r="Q23" t="s">
        <v>353</v>
      </c>
      <c r="R23" s="2" t="s">
        <v>363</v>
      </c>
      <c r="S23" s="1">
        <v>1010</v>
      </c>
    </row>
    <row r="24" spans="1:25" ht="15" customHeight="1" x14ac:dyDescent="0.4">
      <c r="A24" s="5" t="s">
        <v>47</v>
      </c>
      <c r="B24" s="5" t="s">
        <v>345</v>
      </c>
      <c r="C24" s="5" t="s">
        <v>356</v>
      </c>
      <c r="D24" s="5" t="s">
        <v>357</v>
      </c>
      <c r="E24" s="5" t="s">
        <v>75</v>
      </c>
      <c r="F24" s="5" t="s">
        <v>358</v>
      </c>
      <c r="G24" s="5" t="s">
        <v>359</v>
      </c>
      <c r="H24" s="6">
        <v>1800</v>
      </c>
      <c r="I24" s="6">
        <v>340</v>
      </c>
      <c r="J24" s="11">
        <v>50</v>
      </c>
      <c r="K24" s="8">
        <v>41</v>
      </c>
      <c r="L24" s="8">
        <v>10.5</v>
      </c>
      <c r="M24" s="8" t="s">
        <v>360</v>
      </c>
      <c r="N24" s="8" t="s">
        <v>361</v>
      </c>
      <c r="O24" s="7">
        <v>0.8</v>
      </c>
      <c r="P24" s="9" t="s">
        <v>362</v>
      </c>
      <c r="Q24" t="s">
        <v>353</v>
      </c>
      <c r="R24" s="2" t="s">
        <v>363</v>
      </c>
      <c r="S24" s="1">
        <v>1010</v>
      </c>
    </row>
    <row r="25" spans="1:25" ht="15" customHeight="1" x14ac:dyDescent="0.4">
      <c r="A25" s="5" t="s">
        <v>48</v>
      </c>
      <c r="B25" s="5" t="s">
        <v>345</v>
      </c>
      <c r="C25" s="5" t="s">
        <v>356</v>
      </c>
      <c r="D25" s="5" t="s">
        <v>357</v>
      </c>
      <c r="E25" s="5" t="s">
        <v>75</v>
      </c>
      <c r="F25" s="5" t="s">
        <v>358</v>
      </c>
      <c r="G25" s="5" t="s">
        <v>359</v>
      </c>
      <c r="H25" s="6">
        <v>1800</v>
      </c>
      <c r="I25" s="6">
        <v>340</v>
      </c>
      <c r="J25" s="11">
        <v>50</v>
      </c>
      <c r="K25" s="8">
        <v>42</v>
      </c>
      <c r="L25" s="8">
        <v>11.5</v>
      </c>
      <c r="M25" s="8" t="s">
        <v>360</v>
      </c>
      <c r="N25" s="8" t="s">
        <v>361</v>
      </c>
      <c r="O25" s="7">
        <v>0.8</v>
      </c>
      <c r="P25" s="9" t="s">
        <v>362</v>
      </c>
      <c r="Q25" t="s">
        <v>353</v>
      </c>
      <c r="R25" s="2" t="s">
        <v>363</v>
      </c>
      <c r="S25" s="1">
        <v>1010</v>
      </c>
    </row>
    <row r="26" spans="1:25" ht="15" customHeight="1" x14ac:dyDescent="0.4">
      <c r="A26" s="5" t="s">
        <v>49</v>
      </c>
      <c r="B26" s="5" t="s">
        <v>345</v>
      </c>
      <c r="C26" s="5" t="s">
        <v>356</v>
      </c>
      <c r="D26" s="5" t="s">
        <v>357</v>
      </c>
      <c r="E26" s="5" t="s">
        <v>75</v>
      </c>
      <c r="F26" s="5" t="s">
        <v>358</v>
      </c>
      <c r="G26" s="5" t="s">
        <v>359</v>
      </c>
      <c r="H26" s="6">
        <v>1800</v>
      </c>
      <c r="I26" s="6">
        <v>340</v>
      </c>
      <c r="J26" s="11">
        <v>50</v>
      </c>
      <c r="K26" s="8">
        <v>43</v>
      </c>
      <c r="L26" s="8">
        <v>12.5</v>
      </c>
      <c r="M26" s="8" t="s">
        <v>360</v>
      </c>
      <c r="N26" s="8" t="s">
        <v>361</v>
      </c>
      <c r="O26" s="7">
        <v>0.8</v>
      </c>
      <c r="P26" s="9" t="s">
        <v>362</v>
      </c>
      <c r="Q26" t="s">
        <v>353</v>
      </c>
      <c r="R26" s="2" t="s">
        <v>363</v>
      </c>
      <c r="S26" s="1">
        <v>1010</v>
      </c>
    </row>
    <row r="27" spans="1:25" ht="15" customHeight="1" x14ac:dyDescent="0.4">
      <c r="A27" s="5" t="s">
        <v>50</v>
      </c>
      <c r="B27" s="5" t="s">
        <v>345</v>
      </c>
      <c r="C27" s="5" t="s">
        <v>356</v>
      </c>
      <c r="D27" s="5" t="s">
        <v>357</v>
      </c>
      <c r="E27" s="5" t="s">
        <v>90</v>
      </c>
      <c r="F27" s="5" t="s">
        <v>358</v>
      </c>
      <c r="G27" s="5" t="s">
        <v>359</v>
      </c>
      <c r="H27" s="6">
        <v>1800</v>
      </c>
      <c r="I27" s="6">
        <v>340</v>
      </c>
      <c r="J27" s="11">
        <v>50</v>
      </c>
      <c r="K27" s="8">
        <v>38</v>
      </c>
      <c r="L27" s="8">
        <v>7.5</v>
      </c>
      <c r="M27" s="8" t="s">
        <v>364</v>
      </c>
      <c r="N27" s="8" t="s">
        <v>361</v>
      </c>
      <c r="O27" s="7">
        <v>0.8</v>
      </c>
      <c r="P27" s="9" t="s">
        <v>362</v>
      </c>
      <c r="Q27" t="s">
        <v>353</v>
      </c>
      <c r="R27" s="2" t="s">
        <v>363</v>
      </c>
      <c r="S27" s="1">
        <v>1010</v>
      </c>
    </row>
    <row r="28" spans="1:25" ht="15" customHeight="1" x14ac:dyDescent="0.4">
      <c r="A28" s="5" t="s">
        <v>51</v>
      </c>
      <c r="B28" s="5" t="s">
        <v>345</v>
      </c>
      <c r="C28" s="5" t="s">
        <v>356</v>
      </c>
      <c r="D28" s="5" t="s">
        <v>357</v>
      </c>
      <c r="E28" s="5" t="s">
        <v>90</v>
      </c>
      <c r="F28" s="5" t="s">
        <v>358</v>
      </c>
      <c r="G28" s="5" t="s">
        <v>359</v>
      </c>
      <c r="H28" s="6">
        <v>1800</v>
      </c>
      <c r="I28" s="6">
        <v>340</v>
      </c>
      <c r="J28" s="11">
        <v>50</v>
      </c>
      <c r="K28" s="8">
        <v>39</v>
      </c>
      <c r="L28" s="8">
        <v>8.5</v>
      </c>
      <c r="M28" s="8" t="s">
        <v>364</v>
      </c>
      <c r="N28" s="8" t="s">
        <v>361</v>
      </c>
      <c r="O28" s="7">
        <v>0.8</v>
      </c>
      <c r="P28" s="9" t="s">
        <v>362</v>
      </c>
      <c r="Q28" t="s">
        <v>353</v>
      </c>
      <c r="R28" s="2" t="s">
        <v>363</v>
      </c>
      <c r="S28" s="1">
        <v>1010</v>
      </c>
    </row>
    <row r="29" spans="1:25" ht="15" customHeight="1" x14ac:dyDescent="0.4">
      <c r="A29" s="5" t="s">
        <v>52</v>
      </c>
      <c r="B29" s="5" t="s">
        <v>345</v>
      </c>
      <c r="C29" s="5" t="s">
        <v>356</v>
      </c>
      <c r="D29" s="5" t="s">
        <v>357</v>
      </c>
      <c r="E29" s="5" t="s">
        <v>90</v>
      </c>
      <c r="F29" s="5" t="s">
        <v>358</v>
      </c>
      <c r="G29" s="5" t="s">
        <v>359</v>
      </c>
      <c r="H29" s="6">
        <v>1800</v>
      </c>
      <c r="I29" s="6">
        <v>340</v>
      </c>
      <c r="J29" s="11">
        <v>50</v>
      </c>
      <c r="K29" s="8">
        <v>40</v>
      </c>
      <c r="L29" s="8">
        <v>9.5</v>
      </c>
      <c r="M29" s="8" t="s">
        <v>364</v>
      </c>
      <c r="N29" s="8" t="s">
        <v>361</v>
      </c>
      <c r="O29" s="7">
        <v>0.8</v>
      </c>
      <c r="P29" s="9" t="s">
        <v>362</v>
      </c>
      <c r="Q29" t="s">
        <v>353</v>
      </c>
      <c r="R29" s="2" t="s">
        <v>363</v>
      </c>
      <c r="S29" s="1">
        <v>1010</v>
      </c>
    </row>
    <row r="30" spans="1:25" ht="15" customHeight="1" x14ac:dyDescent="0.4">
      <c r="A30" s="5" t="s">
        <v>53</v>
      </c>
      <c r="B30" s="5" t="s">
        <v>345</v>
      </c>
      <c r="C30" s="5" t="s">
        <v>356</v>
      </c>
      <c r="D30" s="5" t="s">
        <v>357</v>
      </c>
      <c r="E30" s="5" t="s">
        <v>90</v>
      </c>
      <c r="F30" s="5" t="s">
        <v>358</v>
      </c>
      <c r="G30" s="5" t="s">
        <v>359</v>
      </c>
      <c r="H30" s="6">
        <v>1800</v>
      </c>
      <c r="I30" s="6">
        <v>340</v>
      </c>
      <c r="J30" s="11">
        <v>50</v>
      </c>
      <c r="K30" s="8">
        <v>41</v>
      </c>
      <c r="L30" s="8">
        <v>10.5</v>
      </c>
      <c r="M30" s="8" t="s">
        <v>364</v>
      </c>
      <c r="N30" s="8" t="s">
        <v>361</v>
      </c>
      <c r="O30" s="7">
        <v>0.8</v>
      </c>
      <c r="P30" s="9" t="s">
        <v>362</v>
      </c>
      <c r="Q30" t="s">
        <v>353</v>
      </c>
      <c r="R30" s="2" t="s">
        <v>363</v>
      </c>
      <c r="S30" s="1">
        <v>1010</v>
      </c>
    </row>
    <row r="31" spans="1:25" ht="15" customHeight="1" x14ac:dyDescent="0.4">
      <c r="A31" s="5" t="s">
        <v>54</v>
      </c>
      <c r="B31" s="5" t="s">
        <v>345</v>
      </c>
      <c r="C31" s="5" t="s">
        <v>356</v>
      </c>
      <c r="D31" s="5" t="s">
        <v>357</v>
      </c>
      <c r="E31" s="5" t="s">
        <v>90</v>
      </c>
      <c r="F31" s="5" t="s">
        <v>358</v>
      </c>
      <c r="G31" s="5" t="s">
        <v>359</v>
      </c>
      <c r="H31" s="6">
        <v>1800</v>
      </c>
      <c r="I31" s="6">
        <v>340</v>
      </c>
      <c r="J31" s="11">
        <v>50</v>
      </c>
      <c r="K31" s="8">
        <v>42</v>
      </c>
      <c r="L31" s="8">
        <v>11.5</v>
      </c>
      <c r="M31" s="8" t="s">
        <v>364</v>
      </c>
      <c r="N31" s="8" t="s">
        <v>361</v>
      </c>
      <c r="O31" s="7">
        <v>0.8</v>
      </c>
      <c r="P31" s="9" t="s">
        <v>362</v>
      </c>
      <c r="Q31" t="s">
        <v>353</v>
      </c>
      <c r="R31" s="2" t="s">
        <v>363</v>
      </c>
      <c r="S31" s="1">
        <v>1010</v>
      </c>
    </row>
    <row r="32" spans="1:25" ht="15" customHeight="1" x14ac:dyDescent="0.4">
      <c r="A32" s="5" t="s">
        <v>55</v>
      </c>
      <c r="B32" s="5" t="s">
        <v>345</v>
      </c>
      <c r="C32" s="5" t="s">
        <v>356</v>
      </c>
      <c r="D32" s="5" t="s">
        <v>357</v>
      </c>
      <c r="E32" s="5" t="s">
        <v>90</v>
      </c>
      <c r="F32" s="5" t="s">
        <v>358</v>
      </c>
      <c r="G32" s="5" t="s">
        <v>359</v>
      </c>
      <c r="H32" s="6">
        <v>1800</v>
      </c>
      <c r="I32" s="6">
        <v>340</v>
      </c>
      <c r="J32" s="11">
        <v>50</v>
      </c>
      <c r="K32" s="8">
        <v>43</v>
      </c>
      <c r="L32" s="8">
        <v>12.5</v>
      </c>
      <c r="M32" s="8" t="s">
        <v>364</v>
      </c>
      <c r="N32" s="8" t="s">
        <v>361</v>
      </c>
      <c r="O32" s="7">
        <v>0.8</v>
      </c>
      <c r="P32" s="9" t="s">
        <v>362</v>
      </c>
      <c r="Q32" t="s">
        <v>353</v>
      </c>
      <c r="R32" s="2" t="s">
        <v>363</v>
      </c>
      <c r="S32" s="1">
        <v>1010</v>
      </c>
    </row>
    <row r="33" spans="1:19" ht="15" customHeight="1" x14ac:dyDescent="0.4">
      <c r="A33" s="5" t="s">
        <v>39</v>
      </c>
      <c r="B33" s="5" t="s">
        <v>345</v>
      </c>
      <c r="C33" s="5" t="s">
        <v>356</v>
      </c>
      <c r="D33" s="5" t="s">
        <v>357</v>
      </c>
      <c r="E33" s="5" t="s">
        <v>90</v>
      </c>
      <c r="F33" s="5" t="s">
        <v>358</v>
      </c>
      <c r="G33" s="5" t="s">
        <v>359</v>
      </c>
      <c r="H33" s="6">
        <v>1800</v>
      </c>
      <c r="I33" s="6">
        <v>340</v>
      </c>
      <c r="J33" s="11">
        <v>50</v>
      </c>
      <c r="K33" s="8">
        <v>44</v>
      </c>
      <c r="L33" s="8">
        <v>13.5</v>
      </c>
      <c r="M33" s="8" t="s">
        <v>364</v>
      </c>
      <c r="N33" s="8" t="s">
        <v>361</v>
      </c>
      <c r="O33" s="7">
        <v>0.8</v>
      </c>
      <c r="P33" s="9" t="s">
        <v>362</v>
      </c>
      <c r="Q33" t="s">
        <v>353</v>
      </c>
      <c r="R33" s="2" t="s">
        <v>363</v>
      </c>
      <c r="S33" s="1">
        <v>1010</v>
      </c>
    </row>
    <row r="34" spans="1:19" ht="15" customHeight="1" x14ac:dyDescent="0.4">
      <c r="A34" s="5" t="s">
        <v>40</v>
      </c>
      <c r="B34" s="5" t="s">
        <v>345</v>
      </c>
      <c r="C34" s="5" t="s">
        <v>356</v>
      </c>
      <c r="D34" s="5" t="s">
        <v>357</v>
      </c>
      <c r="E34" s="5" t="s">
        <v>90</v>
      </c>
      <c r="F34" s="5" t="s">
        <v>358</v>
      </c>
      <c r="G34" s="5" t="s">
        <v>359</v>
      </c>
      <c r="H34" s="6">
        <v>1800</v>
      </c>
      <c r="I34" s="6">
        <v>340</v>
      </c>
      <c r="J34" s="11">
        <v>50</v>
      </c>
      <c r="K34" s="8">
        <v>45</v>
      </c>
      <c r="L34" s="8">
        <v>14.5</v>
      </c>
      <c r="M34" s="8" t="s">
        <v>364</v>
      </c>
      <c r="N34" s="8" t="s">
        <v>361</v>
      </c>
      <c r="O34" s="7">
        <v>0.8</v>
      </c>
      <c r="P34" s="9" t="s">
        <v>362</v>
      </c>
      <c r="Q34" t="s">
        <v>353</v>
      </c>
      <c r="R34" s="2" t="s">
        <v>363</v>
      </c>
      <c r="S34" s="1">
        <v>1010</v>
      </c>
    </row>
    <row r="35" spans="1:19" ht="15" customHeight="1" x14ac:dyDescent="0.4">
      <c r="A35" s="5" t="s">
        <v>41</v>
      </c>
      <c r="B35" s="5" t="s">
        <v>345</v>
      </c>
      <c r="C35" s="5" t="s">
        <v>356</v>
      </c>
      <c r="D35" s="5" t="s">
        <v>357</v>
      </c>
      <c r="E35" s="5" t="s">
        <v>90</v>
      </c>
      <c r="F35" s="5" t="s">
        <v>358</v>
      </c>
      <c r="G35" s="5" t="s">
        <v>359</v>
      </c>
      <c r="H35" s="6">
        <v>1800</v>
      </c>
      <c r="I35" s="6">
        <v>340</v>
      </c>
      <c r="J35" s="11">
        <v>50</v>
      </c>
      <c r="K35" s="8">
        <v>46</v>
      </c>
      <c r="L35" s="8">
        <v>15.5</v>
      </c>
      <c r="M35" s="8" t="s">
        <v>364</v>
      </c>
      <c r="N35" s="8" t="s">
        <v>361</v>
      </c>
      <c r="O35" s="7">
        <v>0.8</v>
      </c>
      <c r="P35" s="9" t="s">
        <v>362</v>
      </c>
      <c r="Q35" t="s">
        <v>353</v>
      </c>
      <c r="R35" s="2" t="s">
        <v>363</v>
      </c>
      <c r="S35" s="1">
        <v>1020</v>
      </c>
    </row>
    <row r="36" spans="1:19" ht="15" customHeight="1" x14ac:dyDescent="0.4">
      <c r="A36" s="5" t="s">
        <v>5</v>
      </c>
      <c r="B36" s="5" t="s">
        <v>345</v>
      </c>
      <c r="C36" s="5" t="s">
        <v>365</v>
      </c>
      <c r="D36" s="5" t="s">
        <v>347</v>
      </c>
      <c r="E36" s="5" t="s">
        <v>75</v>
      </c>
      <c r="F36" s="5" t="s">
        <v>366</v>
      </c>
      <c r="G36" s="17" t="s">
        <v>367</v>
      </c>
      <c r="H36" s="6">
        <v>1800</v>
      </c>
      <c r="I36" s="6">
        <v>400</v>
      </c>
      <c r="J36" s="11">
        <v>59</v>
      </c>
      <c r="K36" s="8">
        <v>36</v>
      </c>
      <c r="L36" s="8">
        <v>5.5</v>
      </c>
      <c r="M36" s="8" t="s">
        <v>350</v>
      </c>
      <c r="N36" s="8" t="s">
        <v>351</v>
      </c>
      <c r="O36" s="7">
        <v>0.9</v>
      </c>
      <c r="P36" s="9" t="s">
        <v>368</v>
      </c>
      <c r="Q36" t="s">
        <v>369</v>
      </c>
      <c r="R36" s="2" t="s">
        <v>370</v>
      </c>
      <c r="S36" s="1">
        <v>1020</v>
      </c>
    </row>
    <row r="37" spans="1:19" ht="15" customHeight="1" x14ac:dyDescent="0.4">
      <c r="A37" s="5" t="s">
        <v>6</v>
      </c>
      <c r="B37" s="5" t="s">
        <v>345</v>
      </c>
      <c r="C37" s="5" t="s">
        <v>365</v>
      </c>
      <c r="D37" s="5" t="s">
        <v>347</v>
      </c>
      <c r="E37" s="5" t="s">
        <v>75</v>
      </c>
      <c r="F37" s="5" t="s">
        <v>366</v>
      </c>
      <c r="G37" s="17" t="s">
        <v>367</v>
      </c>
      <c r="H37" s="6">
        <v>1800</v>
      </c>
      <c r="I37" s="6">
        <v>400</v>
      </c>
      <c r="J37" s="11">
        <v>59</v>
      </c>
      <c r="K37" s="8">
        <v>37</v>
      </c>
      <c r="L37" s="8">
        <v>6.5</v>
      </c>
      <c r="M37" s="8" t="s">
        <v>350</v>
      </c>
      <c r="N37" s="8" t="s">
        <v>351</v>
      </c>
      <c r="O37" s="7">
        <v>0.9</v>
      </c>
      <c r="P37" s="9" t="s">
        <v>368</v>
      </c>
      <c r="Q37" t="s">
        <v>369</v>
      </c>
      <c r="R37" s="2" t="s">
        <v>370</v>
      </c>
      <c r="S37" s="1">
        <v>1020</v>
      </c>
    </row>
    <row r="38" spans="1:19" ht="15" customHeight="1" x14ac:dyDescent="0.4">
      <c r="A38" s="5" t="s">
        <v>8</v>
      </c>
      <c r="B38" s="5" t="s">
        <v>345</v>
      </c>
      <c r="C38" s="5" t="s">
        <v>365</v>
      </c>
      <c r="D38" s="5" t="s">
        <v>347</v>
      </c>
      <c r="E38" s="5" t="s">
        <v>75</v>
      </c>
      <c r="F38" s="5" t="s">
        <v>366</v>
      </c>
      <c r="G38" s="17" t="s">
        <v>367</v>
      </c>
      <c r="H38" s="6">
        <v>1800</v>
      </c>
      <c r="I38" s="6">
        <v>400</v>
      </c>
      <c r="J38" s="11">
        <v>59</v>
      </c>
      <c r="K38" s="8">
        <v>38</v>
      </c>
      <c r="L38" s="8">
        <v>7.5</v>
      </c>
      <c r="M38" s="8" t="s">
        <v>350</v>
      </c>
      <c r="N38" s="8" t="s">
        <v>351</v>
      </c>
      <c r="O38" s="7">
        <v>0.9</v>
      </c>
      <c r="P38" s="9" t="s">
        <v>368</v>
      </c>
      <c r="Q38" t="s">
        <v>369</v>
      </c>
      <c r="R38" s="2" t="s">
        <v>370</v>
      </c>
      <c r="S38" s="1">
        <v>1020</v>
      </c>
    </row>
    <row r="39" spans="1:19" ht="15" customHeight="1" x14ac:dyDescent="0.4">
      <c r="A39" s="5" t="s">
        <v>10</v>
      </c>
      <c r="B39" s="5" t="s">
        <v>345</v>
      </c>
      <c r="C39" s="5" t="s">
        <v>365</v>
      </c>
      <c r="D39" s="5" t="s">
        <v>347</v>
      </c>
      <c r="E39" s="5" t="s">
        <v>75</v>
      </c>
      <c r="F39" s="5" t="s">
        <v>366</v>
      </c>
      <c r="G39" s="17" t="s">
        <v>367</v>
      </c>
      <c r="H39" s="6">
        <v>1800</v>
      </c>
      <c r="I39" s="6">
        <v>400</v>
      </c>
      <c r="J39" s="11">
        <v>59</v>
      </c>
      <c r="K39" s="8">
        <v>39</v>
      </c>
      <c r="L39" s="8">
        <v>8.5</v>
      </c>
      <c r="M39" s="8" t="s">
        <v>350</v>
      </c>
      <c r="N39" s="8" t="s">
        <v>351</v>
      </c>
      <c r="O39" s="7">
        <v>0.9</v>
      </c>
      <c r="P39" s="9" t="s">
        <v>368</v>
      </c>
      <c r="Q39" t="s">
        <v>369</v>
      </c>
      <c r="R39" s="2" t="s">
        <v>370</v>
      </c>
      <c r="S39" s="1">
        <v>1020</v>
      </c>
    </row>
    <row r="40" spans="1:19" ht="15" customHeight="1" x14ac:dyDescent="0.4">
      <c r="A40" s="5" t="s">
        <v>12</v>
      </c>
      <c r="B40" s="5" t="s">
        <v>345</v>
      </c>
      <c r="C40" s="5" t="s">
        <v>365</v>
      </c>
      <c r="D40" s="5" t="s">
        <v>347</v>
      </c>
      <c r="E40" s="5" t="s">
        <v>75</v>
      </c>
      <c r="F40" s="5" t="s">
        <v>366</v>
      </c>
      <c r="G40" s="17" t="s">
        <v>367</v>
      </c>
      <c r="H40" s="6">
        <v>1800</v>
      </c>
      <c r="I40" s="6">
        <v>400</v>
      </c>
      <c r="J40" s="11">
        <v>59</v>
      </c>
      <c r="K40" s="8">
        <v>40</v>
      </c>
      <c r="L40" s="8">
        <v>9.5</v>
      </c>
      <c r="M40" s="8" t="s">
        <v>350</v>
      </c>
      <c r="N40" s="8" t="s">
        <v>351</v>
      </c>
      <c r="O40" s="7">
        <v>0.9</v>
      </c>
      <c r="P40" s="9" t="s">
        <v>368</v>
      </c>
      <c r="Q40" t="s">
        <v>369</v>
      </c>
      <c r="R40" s="2" t="s">
        <v>370</v>
      </c>
      <c r="S40" s="1">
        <v>1020</v>
      </c>
    </row>
    <row r="41" spans="1:19" ht="15" customHeight="1" x14ac:dyDescent="0.4">
      <c r="A41" s="5" t="s">
        <v>14</v>
      </c>
      <c r="B41" s="5" t="s">
        <v>345</v>
      </c>
      <c r="C41" s="5" t="s">
        <v>365</v>
      </c>
      <c r="D41" s="5" t="s">
        <v>347</v>
      </c>
      <c r="E41" s="5" t="s">
        <v>75</v>
      </c>
      <c r="F41" s="5" t="s">
        <v>366</v>
      </c>
      <c r="G41" s="17" t="s">
        <v>367</v>
      </c>
      <c r="H41" s="6">
        <v>1800</v>
      </c>
      <c r="I41" s="6">
        <v>400</v>
      </c>
      <c r="J41" s="11">
        <v>59</v>
      </c>
      <c r="K41" s="8">
        <v>41</v>
      </c>
      <c r="L41" s="8">
        <v>10.5</v>
      </c>
      <c r="M41" s="8" t="s">
        <v>350</v>
      </c>
      <c r="N41" s="8" t="s">
        <v>351</v>
      </c>
      <c r="O41" s="7">
        <v>0.9</v>
      </c>
      <c r="P41" s="9" t="s">
        <v>368</v>
      </c>
      <c r="Q41" t="s">
        <v>369</v>
      </c>
      <c r="R41" s="2" t="s">
        <v>370</v>
      </c>
      <c r="S41" s="1">
        <v>1020</v>
      </c>
    </row>
    <row r="42" spans="1:19" ht="15" customHeight="1" x14ac:dyDescent="0.4">
      <c r="A42" s="5" t="s">
        <v>15</v>
      </c>
      <c r="B42" s="5" t="s">
        <v>345</v>
      </c>
      <c r="C42" s="5" t="s">
        <v>365</v>
      </c>
      <c r="D42" s="5" t="s">
        <v>347</v>
      </c>
      <c r="E42" s="5" t="s">
        <v>75</v>
      </c>
      <c r="F42" s="5" t="s">
        <v>366</v>
      </c>
      <c r="G42" s="17" t="s">
        <v>367</v>
      </c>
      <c r="H42" s="6">
        <v>1800</v>
      </c>
      <c r="I42" s="6">
        <v>400</v>
      </c>
      <c r="J42" s="11">
        <v>59</v>
      </c>
      <c r="K42" s="8">
        <v>42</v>
      </c>
      <c r="L42" s="8">
        <v>11.5</v>
      </c>
      <c r="M42" s="8" t="s">
        <v>350</v>
      </c>
      <c r="N42" s="8" t="s">
        <v>351</v>
      </c>
      <c r="O42" s="7">
        <v>0.9</v>
      </c>
      <c r="P42" s="9" t="s">
        <v>368</v>
      </c>
      <c r="Q42" t="s">
        <v>369</v>
      </c>
      <c r="R42" s="2" t="s">
        <v>370</v>
      </c>
      <c r="S42" s="1">
        <v>1020</v>
      </c>
    </row>
    <row r="43" spans="1:19" ht="15" customHeight="1" x14ac:dyDescent="0.4">
      <c r="A43" s="5" t="s">
        <v>16</v>
      </c>
      <c r="B43" s="5" t="s">
        <v>345</v>
      </c>
      <c r="C43" s="5" t="s">
        <v>365</v>
      </c>
      <c r="D43" s="5" t="s">
        <v>347</v>
      </c>
      <c r="E43" s="5" t="s">
        <v>75</v>
      </c>
      <c r="F43" s="5" t="s">
        <v>366</v>
      </c>
      <c r="G43" s="17" t="s">
        <v>367</v>
      </c>
      <c r="H43" s="6">
        <v>1800</v>
      </c>
      <c r="I43" s="6">
        <v>400</v>
      </c>
      <c r="J43" s="11">
        <v>59</v>
      </c>
      <c r="K43" s="8">
        <v>43</v>
      </c>
      <c r="L43" s="8">
        <v>12.5</v>
      </c>
      <c r="M43" s="8" t="s">
        <v>350</v>
      </c>
      <c r="N43" s="8" t="s">
        <v>351</v>
      </c>
      <c r="O43" s="7">
        <v>0.9</v>
      </c>
      <c r="P43" s="9" t="s">
        <v>368</v>
      </c>
      <c r="Q43" t="s">
        <v>369</v>
      </c>
      <c r="R43" s="2" t="s">
        <v>370</v>
      </c>
      <c r="S43" s="1">
        <v>1020</v>
      </c>
    </row>
    <row r="44" spans="1:19" ht="15" customHeight="1" x14ac:dyDescent="0.4">
      <c r="A44" s="5" t="s">
        <v>17</v>
      </c>
      <c r="B44" s="5" t="s">
        <v>345</v>
      </c>
      <c r="C44" s="5" t="s">
        <v>365</v>
      </c>
      <c r="D44" s="5" t="s">
        <v>347</v>
      </c>
      <c r="E44" s="5" t="s">
        <v>90</v>
      </c>
      <c r="F44" s="5" t="s">
        <v>366</v>
      </c>
      <c r="G44" s="17" t="s">
        <v>367</v>
      </c>
      <c r="H44" s="6">
        <v>1800</v>
      </c>
      <c r="I44" s="6">
        <v>400</v>
      </c>
      <c r="J44" s="11">
        <v>59</v>
      </c>
      <c r="K44" s="8">
        <v>38</v>
      </c>
      <c r="L44" s="8">
        <v>7.5</v>
      </c>
      <c r="M44" s="8" t="s">
        <v>355</v>
      </c>
      <c r="N44" s="8" t="s">
        <v>351</v>
      </c>
      <c r="O44" s="7">
        <v>0.9</v>
      </c>
      <c r="P44" s="9" t="s">
        <v>368</v>
      </c>
      <c r="Q44" t="s">
        <v>369</v>
      </c>
      <c r="R44" s="2" t="s">
        <v>370</v>
      </c>
      <c r="S44" s="1">
        <v>1020</v>
      </c>
    </row>
    <row r="45" spans="1:19" ht="15" customHeight="1" x14ac:dyDescent="0.4">
      <c r="A45" s="5" t="s">
        <v>18</v>
      </c>
      <c r="B45" s="5" t="s">
        <v>345</v>
      </c>
      <c r="C45" s="5" t="s">
        <v>365</v>
      </c>
      <c r="D45" s="5" t="s">
        <v>347</v>
      </c>
      <c r="E45" s="5" t="s">
        <v>90</v>
      </c>
      <c r="F45" s="5" t="s">
        <v>366</v>
      </c>
      <c r="G45" s="17" t="s">
        <v>367</v>
      </c>
      <c r="H45" s="6">
        <v>1800</v>
      </c>
      <c r="I45" s="6">
        <v>400</v>
      </c>
      <c r="J45" s="11">
        <v>59</v>
      </c>
      <c r="K45" s="8">
        <v>39</v>
      </c>
      <c r="L45" s="8">
        <v>8.5</v>
      </c>
      <c r="M45" s="8" t="s">
        <v>355</v>
      </c>
      <c r="N45" s="8" t="s">
        <v>351</v>
      </c>
      <c r="O45" s="7">
        <v>0.9</v>
      </c>
      <c r="P45" s="9" t="s">
        <v>368</v>
      </c>
      <c r="Q45" t="s">
        <v>369</v>
      </c>
      <c r="R45" s="2" t="s">
        <v>370</v>
      </c>
      <c r="S45" s="1">
        <v>1020</v>
      </c>
    </row>
    <row r="46" spans="1:19" ht="15" customHeight="1" x14ac:dyDescent="0.4">
      <c r="A46" s="5" t="s">
        <v>19</v>
      </c>
      <c r="B46" s="5" t="s">
        <v>345</v>
      </c>
      <c r="C46" s="5" t="s">
        <v>365</v>
      </c>
      <c r="D46" s="5" t="s">
        <v>347</v>
      </c>
      <c r="E46" s="5" t="s">
        <v>90</v>
      </c>
      <c r="F46" s="5" t="s">
        <v>366</v>
      </c>
      <c r="G46" s="17" t="s">
        <v>367</v>
      </c>
      <c r="H46" s="6">
        <v>1800</v>
      </c>
      <c r="I46" s="6">
        <v>400</v>
      </c>
      <c r="J46" s="11">
        <v>59</v>
      </c>
      <c r="K46" s="8">
        <v>40</v>
      </c>
      <c r="L46" s="8">
        <v>9.5</v>
      </c>
      <c r="M46" s="8" t="s">
        <v>355</v>
      </c>
      <c r="N46" s="8" t="s">
        <v>351</v>
      </c>
      <c r="O46" s="7">
        <v>0.9</v>
      </c>
      <c r="P46" s="9" t="s">
        <v>368</v>
      </c>
      <c r="Q46" t="s">
        <v>369</v>
      </c>
      <c r="R46" s="2" t="s">
        <v>370</v>
      </c>
      <c r="S46" s="1">
        <v>1020</v>
      </c>
    </row>
    <row r="47" spans="1:19" ht="15" customHeight="1" x14ac:dyDescent="0.4">
      <c r="A47" s="5" t="s">
        <v>20</v>
      </c>
      <c r="B47" s="5" t="s">
        <v>345</v>
      </c>
      <c r="C47" s="5" t="s">
        <v>365</v>
      </c>
      <c r="D47" s="5" t="s">
        <v>347</v>
      </c>
      <c r="E47" s="5" t="s">
        <v>90</v>
      </c>
      <c r="F47" s="5" t="s">
        <v>366</v>
      </c>
      <c r="G47" s="17" t="s">
        <v>367</v>
      </c>
      <c r="H47" s="6">
        <v>1800</v>
      </c>
      <c r="I47" s="6">
        <v>400</v>
      </c>
      <c r="J47" s="11">
        <v>59</v>
      </c>
      <c r="K47" s="8">
        <v>41</v>
      </c>
      <c r="L47" s="8">
        <v>10.5</v>
      </c>
      <c r="M47" s="8" t="s">
        <v>355</v>
      </c>
      <c r="N47" s="8" t="s">
        <v>351</v>
      </c>
      <c r="O47" s="7">
        <v>0.9</v>
      </c>
      <c r="P47" s="9" t="s">
        <v>368</v>
      </c>
      <c r="Q47" t="s">
        <v>369</v>
      </c>
      <c r="R47" s="2" t="s">
        <v>370</v>
      </c>
      <c r="S47" s="1">
        <v>1020</v>
      </c>
    </row>
    <row r="48" spans="1:19" ht="15" customHeight="1" x14ac:dyDescent="0.4">
      <c r="A48" s="5" t="s">
        <v>21</v>
      </c>
      <c r="B48" s="5" t="s">
        <v>345</v>
      </c>
      <c r="C48" s="5" t="s">
        <v>365</v>
      </c>
      <c r="D48" s="5" t="s">
        <v>347</v>
      </c>
      <c r="E48" s="5" t="s">
        <v>90</v>
      </c>
      <c r="F48" s="5" t="s">
        <v>366</v>
      </c>
      <c r="G48" s="17" t="s">
        <v>367</v>
      </c>
      <c r="H48" s="6">
        <v>1800</v>
      </c>
      <c r="I48" s="6">
        <v>400</v>
      </c>
      <c r="J48" s="11">
        <v>59</v>
      </c>
      <c r="K48" s="8">
        <v>42</v>
      </c>
      <c r="L48" s="8">
        <v>11.5</v>
      </c>
      <c r="M48" s="8" t="s">
        <v>355</v>
      </c>
      <c r="N48" s="8" t="s">
        <v>351</v>
      </c>
      <c r="O48" s="7">
        <v>0.9</v>
      </c>
      <c r="P48" s="9" t="s">
        <v>368</v>
      </c>
      <c r="Q48" t="s">
        <v>369</v>
      </c>
      <c r="R48" s="2" t="s">
        <v>370</v>
      </c>
      <c r="S48" s="1">
        <v>1020</v>
      </c>
    </row>
    <row r="49" spans="1:19" ht="15" customHeight="1" x14ac:dyDescent="0.4">
      <c r="A49" s="5" t="s">
        <v>22</v>
      </c>
      <c r="B49" s="5" t="s">
        <v>345</v>
      </c>
      <c r="C49" s="5" t="s">
        <v>365</v>
      </c>
      <c r="D49" s="5" t="s">
        <v>347</v>
      </c>
      <c r="E49" s="5" t="s">
        <v>90</v>
      </c>
      <c r="F49" s="5" t="s">
        <v>366</v>
      </c>
      <c r="G49" s="17" t="s">
        <v>367</v>
      </c>
      <c r="H49" s="6">
        <v>1800</v>
      </c>
      <c r="I49" s="6">
        <v>400</v>
      </c>
      <c r="J49" s="11">
        <v>59</v>
      </c>
      <c r="K49" s="8">
        <v>43</v>
      </c>
      <c r="L49" s="8">
        <v>12.5</v>
      </c>
      <c r="M49" s="8" t="s">
        <v>355</v>
      </c>
      <c r="N49" s="8" t="s">
        <v>351</v>
      </c>
      <c r="O49" s="7">
        <v>0.9</v>
      </c>
      <c r="P49" s="9" t="s">
        <v>368</v>
      </c>
      <c r="Q49" t="s">
        <v>369</v>
      </c>
      <c r="R49" s="2" t="s">
        <v>370</v>
      </c>
      <c r="S49" s="1">
        <v>1020</v>
      </c>
    </row>
    <row r="50" spans="1:19" ht="15" customHeight="1" x14ac:dyDescent="0.4">
      <c r="A50" s="5" t="s">
        <v>23</v>
      </c>
      <c r="B50" s="5" t="s">
        <v>345</v>
      </c>
      <c r="C50" s="5" t="s">
        <v>365</v>
      </c>
      <c r="D50" s="5" t="s">
        <v>347</v>
      </c>
      <c r="E50" s="5" t="s">
        <v>90</v>
      </c>
      <c r="F50" s="5" t="s">
        <v>366</v>
      </c>
      <c r="G50" s="17" t="s">
        <v>367</v>
      </c>
      <c r="H50" s="6">
        <v>1800</v>
      </c>
      <c r="I50" s="6">
        <v>400</v>
      </c>
      <c r="J50" s="11">
        <v>59</v>
      </c>
      <c r="K50" s="8">
        <v>44</v>
      </c>
      <c r="L50" s="8">
        <v>13.5</v>
      </c>
      <c r="M50" s="8" t="s">
        <v>355</v>
      </c>
      <c r="N50" s="8" t="s">
        <v>351</v>
      </c>
      <c r="O50" s="7">
        <v>0.9</v>
      </c>
      <c r="P50" s="9" t="s">
        <v>368</v>
      </c>
      <c r="Q50" t="s">
        <v>369</v>
      </c>
      <c r="R50" s="2" t="s">
        <v>370</v>
      </c>
      <c r="S50" s="1">
        <v>1020</v>
      </c>
    </row>
    <row r="51" spans="1:19" ht="15" customHeight="1" x14ac:dyDescent="0.4">
      <c r="A51" s="5" t="s">
        <v>24</v>
      </c>
      <c r="B51" s="5" t="s">
        <v>345</v>
      </c>
      <c r="C51" s="5" t="s">
        <v>365</v>
      </c>
      <c r="D51" s="5" t="s">
        <v>347</v>
      </c>
      <c r="E51" s="5" t="s">
        <v>90</v>
      </c>
      <c r="F51" s="5" t="s">
        <v>366</v>
      </c>
      <c r="G51" s="17" t="s">
        <v>367</v>
      </c>
      <c r="H51" s="6">
        <v>1800</v>
      </c>
      <c r="I51" s="6">
        <v>400</v>
      </c>
      <c r="J51" s="11">
        <v>59</v>
      </c>
      <c r="K51" s="8">
        <v>45</v>
      </c>
      <c r="L51" s="8">
        <v>14.5</v>
      </c>
      <c r="M51" s="8" t="s">
        <v>355</v>
      </c>
      <c r="N51" s="8" t="s">
        <v>351</v>
      </c>
      <c r="O51" s="7">
        <v>0.9</v>
      </c>
      <c r="P51" s="9" t="s">
        <v>368</v>
      </c>
      <c r="Q51" t="s">
        <v>369</v>
      </c>
      <c r="R51" s="2" t="s">
        <v>370</v>
      </c>
      <c r="S51" s="1">
        <v>1020</v>
      </c>
    </row>
    <row r="52" spans="1:19" ht="15" customHeight="1" x14ac:dyDescent="0.4">
      <c r="A52" s="5" t="s">
        <v>25</v>
      </c>
      <c r="B52" s="5" t="s">
        <v>345</v>
      </c>
      <c r="C52" s="5" t="s">
        <v>365</v>
      </c>
      <c r="D52" s="5" t="s">
        <v>347</v>
      </c>
      <c r="E52" s="5" t="s">
        <v>90</v>
      </c>
      <c r="F52" s="5" t="s">
        <v>371</v>
      </c>
      <c r="G52" s="17" t="s">
        <v>372</v>
      </c>
      <c r="H52" s="6">
        <v>1800</v>
      </c>
      <c r="I52" s="6">
        <v>400</v>
      </c>
      <c r="J52" s="11">
        <v>59</v>
      </c>
      <c r="K52" s="8">
        <v>46</v>
      </c>
      <c r="L52" s="8">
        <v>15.5</v>
      </c>
      <c r="M52" s="8" t="s">
        <v>355</v>
      </c>
      <c r="N52" s="8" t="s">
        <v>351</v>
      </c>
      <c r="O52" s="7">
        <v>0.9</v>
      </c>
      <c r="P52" s="9" t="s">
        <v>368</v>
      </c>
      <c r="Q52" t="s">
        <v>369</v>
      </c>
      <c r="R52" s="2" t="s">
        <v>370</v>
      </c>
      <c r="S52" s="1">
        <v>1020</v>
      </c>
    </row>
    <row r="53" spans="1:19" ht="15" customHeight="1" x14ac:dyDescent="0.4">
      <c r="A53" s="5" t="s">
        <v>30</v>
      </c>
      <c r="B53" s="5" t="s">
        <v>345</v>
      </c>
      <c r="C53" s="5" t="s">
        <v>373</v>
      </c>
      <c r="D53" s="5" t="s">
        <v>357</v>
      </c>
      <c r="E53" s="5" t="s">
        <v>75</v>
      </c>
      <c r="F53" s="5" t="s">
        <v>371</v>
      </c>
      <c r="G53" s="17" t="s">
        <v>372</v>
      </c>
      <c r="H53" s="6">
        <v>1800</v>
      </c>
      <c r="I53" s="6">
        <v>400</v>
      </c>
      <c r="J53" s="11">
        <v>59</v>
      </c>
      <c r="K53" s="8">
        <v>36</v>
      </c>
      <c r="L53" s="8">
        <v>5.5</v>
      </c>
      <c r="M53" s="8" t="s">
        <v>360</v>
      </c>
      <c r="N53" s="8" t="s">
        <v>361</v>
      </c>
      <c r="O53" s="7">
        <v>1</v>
      </c>
      <c r="P53" s="9" t="s">
        <v>368</v>
      </c>
      <c r="Q53" t="s">
        <v>369</v>
      </c>
      <c r="R53" s="2" t="s">
        <v>353</v>
      </c>
      <c r="S53" s="1">
        <v>1020</v>
      </c>
    </row>
    <row r="54" spans="1:19" ht="15" customHeight="1" x14ac:dyDescent="0.4">
      <c r="A54" s="5" t="s">
        <v>26</v>
      </c>
      <c r="B54" s="5" t="s">
        <v>345</v>
      </c>
      <c r="C54" s="5" t="s">
        <v>373</v>
      </c>
      <c r="D54" s="5" t="s">
        <v>357</v>
      </c>
      <c r="E54" s="5" t="s">
        <v>75</v>
      </c>
      <c r="F54" s="5" t="s">
        <v>371</v>
      </c>
      <c r="G54" s="17" t="s">
        <v>372</v>
      </c>
      <c r="H54" s="6">
        <v>1800</v>
      </c>
      <c r="I54" s="6">
        <v>400</v>
      </c>
      <c r="J54" s="11">
        <v>59</v>
      </c>
      <c r="K54" s="8">
        <v>37</v>
      </c>
      <c r="L54" s="8">
        <v>6.5</v>
      </c>
      <c r="M54" s="8" t="s">
        <v>360</v>
      </c>
      <c r="N54" s="8" t="s">
        <v>361</v>
      </c>
      <c r="O54" s="7">
        <v>1</v>
      </c>
      <c r="P54" s="9" t="s">
        <v>368</v>
      </c>
      <c r="Q54" t="s">
        <v>369</v>
      </c>
      <c r="R54" s="2" t="s">
        <v>353</v>
      </c>
      <c r="S54" s="1">
        <v>1020</v>
      </c>
    </row>
    <row r="55" spans="1:19" ht="15" customHeight="1" x14ac:dyDescent="0.4">
      <c r="A55" s="5" t="s">
        <v>27</v>
      </c>
      <c r="B55" s="5" t="s">
        <v>345</v>
      </c>
      <c r="C55" s="5" t="s">
        <v>373</v>
      </c>
      <c r="D55" s="5" t="s">
        <v>357</v>
      </c>
      <c r="E55" s="5" t="s">
        <v>75</v>
      </c>
      <c r="F55" s="5" t="s">
        <v>371</v>
      </c>
      <c r="G55" s="17" t="s">
        <v>372</v>
      </c>
      <c r="H55" s="6">
        <v>1800</v>
      </c>
      <c r="I55" s="6">
        <v>400</v>
      </c>
      <c r="J55" s="11">
        <v>59</v>
      </c>
      <c r="K55" s="8">
        <v>38</v>
      </c>
      <c r="L55" s="8">
        <v>7.5</v>
      </c>
      <c r="M55" s="8" t="s">
        <v>360</v>
      </c>
      <c r="N55" s="8" t="s">
        <v>361</v>
      </c>
      <c r="O55" s="7">
        <v>1</v>
      </c>
      <c r="P55" s="9" t="s">
        <v>368</v>
      </c>
      <c r="Q55" t="s">
        <v>369</v>
      </c>
      <c r="R55" s="2" t="s">
        <v>353</v>
      </c>
      <c r="S55" s="1">
        <v>1020</v>
      </c>
    </row>
    <row r="56" spans="1:19" ht="15" customHeight="1" x14ac:dyDescent="0.4">
      <c r="A56" s="5" t="s">
        <v>28</v>
      </c>
      <c r="B56" s="5" t="s">
        <v>345</v>
      </c>
      <c r="C56" s="5" t="s">
        <v>373</v>
      </c>
      <c r="D56" s="5" t="s">
        <v>357</v>
      </c>
      <c r="E56" s="5" t="s">
        <v>75</v>
      </c>
      <c r="F56" s="5" t="s">
        <v>371</v>
      </c>
      <c r="G56" s="17" t="s">
        <v>372</v>
      </c>
      <c r="H56" s="6">
        <v>1800</v>
      </c>
      <c r="I56" s="6">
        <v>400</v>
      </c>
      <c r="J56" s="11">
        <v>59</v>
      </c>
      <c r="K56" s="8">
        <v>39</v>
      </c>
      <c r="L56" s="8">
        <v>8.5</v>
      </c>
      <c r="M56" s="8" t="s">
        <v>360</v>
      </c>
      <c r="N56" s="8" t="s">
        <v>361</v>
      </c>
      <c r="O56" s="7">
        <v>1</v>
      </c>
      <c r="P56" s="9" t="s">
        <v>368</v>
      </c>
      <c r="Q56" t="s">
        <v>369</v>
      </c>
      <c r="R56" s="2" t="s">
        <v>353</v>
      </c>
      <c r="S56" s="1">
        <v>1020</v>
      </c>
    </row>
    <row r="57" spans="1:19" ht="15" customHeight="1" x14ac:dyDescent="0.4">
      <c r="A57" s="5" t="s">
        <v>29</v>
      </c>
      <c r="B57" s="5" t="s">
        <v>345</v>
      </c>
      <c r="C57" s="5" t="s">
        <v>373</v>
      </c>
      <c r="D57" s="5" t="s">
        <v>357</v>
      </c>
      <c r="E57" s="5" t="s">
        <v>75</v>
      </c>
      <c r="F57" s="5" t="s">
        <v>371</v>
      </c>
      <c r="G57" s="17" t="s">
        <v>372</v>
      </c>
      <c r="H57" s="6">
        <v>1800</v>
      </c>
      <c r="I57" s="6">
        <v>400</v>
      </c>
      <c r="J57" s="11">
        <v>59</v>
      </c>
      <c r="K57" s="8">
        <v>40</v>
      </c>
      <c r="L57" s="8">
        <v>9.5</v>
      </c>
      <c r="M57" s="8" t="s">
        <v>360</v>
      </c>
      <c r="N57" s="8" t="s">
        <v>361</v>
      </c>
      <c r="O57" s="7">
        <v>1</v>
      </c>
      <c r="P57" s="9" t="s">
        <v>368</v>
      </c>
      <c r="Q57" t="s">
        <v>369</v>
      </c>
      <c r="R57" s="2" t="s">
        <v>353</v>
      </c>
      <c r="S57" s="1">
        <v>1020</v>
      </c>
    </row>
    <row r="58" spans="1:19" ht="15" customHeight="1" x14ac:dyDescent="0.4">
      <c r="A58" s="5" t="s">
        <v>31</v>
      </c>
      <c r="B58" s="5" t="s">
        <v>345</v>
      </c>
      <c r="C58" s="5" t="s">
        <v>373</v>
      </c>
      <c r="D58" s="5" t="s">
        <v>357</v>
      </c>
      <c r="E58" s="5" t="s">
        <v>75</v>
      </c>
      <c r="F58" s="5" t="s">
        <v>371</v>
      </c>
      <c r="G58" s="17" t="s">
        <v>372</v>
      </c>
      <c r="H58" s="6">
        <v>1800</v>
      </c>
      <c r="I58" s="6">
        <v>400</v>
      </c>
      <c r="J58" s="11">
        <v>59</v>
      </c>
      <c r="K58" s="8">
        <v>41</v>
      </c>
      <c r="L58" s="8">
        <v>10.5</v>
      </c>
      <c r="M58" s="8" t="s">
        <v>360</v>
      </c>
      <c r="N58" s="8" t="s">
        <v>361</v>
      </c>
      <c r="O58" s="7">
        <v>1</v>
      </c>
      <c r="P58" s="9" t="s">
        <v>368</v>
      </c>
      <c r="Q58" t="s">
        <v>369</v>
      </c>
      <c r="R58" s="2" t="s">
        <v>353</v>
      </c>
      <c r="S58" s="1">
        <v>1020</v>
      </c>
    </row>
    <row r="59" spans="1:19" ht="15" customHeight="1" x14ac:dyDescent="0.4">
      <c r="A59" s="5" t="s">
        <v>32</v>
      </c>
      <c r="B59" s="5" t="s">
        <v>345</v>
      </c>
      <c r="C59" s="5" t="s">
        <v>373</v>
      </c>
      <c r="D59" s="5" t="s">
        <v>357</v>
      </c>
      <c r="E59" s="5" t="s">
        <v>75</v>
      </c>
      <c r="F59" s="5" t="s">
        <v>371</v>
      </c>
      <c r="G59" s="17" t="s">
        <v>372</v>
      </c>
      <c r="H59" s="6">
        <v>1800</v>
      </c>
      <c r="I59" s="6">
        <v>400</v>
      </c>
      <c r="J59" s="11">
        <v>59</v>
      </c>
      <c r="K59" s="8">
        <v>42</v>
      </c>
      <c r="L59" s="8">
        <v>11.5</v>
      </c>
      <c r="M59" s="8" t="s">
        <v>360</v>
      </c>
      <c r="N59" s="8" t="s">
        <v>361</v>
      </c>
      <c r="O59" s="7">
        <v>1</v>
      </c>
      <c r="P59" s="9" t="s">
        <v>368</v>
      </c>
      <c r="Q59" t="s">
        <v>369</v>
      </c>
      <c r="R59" s="2" t="s">
        <v>353</v>
      </c>
      <c r="S59" s="1">
        <v>1020</v>
      </c>
    </row>
    <row r="60" spans="1:19" ht="15" customHeight="1" x14ac:dyDescent="0.4">
      <c r="A60" s="5" t="s">
        <v>33</v>
      </c>
      <c r="B60" s="5" t="s">
        <v>345</v>
      </c>
      <c r="C60" s="5" t="s">
        <v>373</v>
      </c>
      <c r="D60" s="5" t="s">
        <v>357</v>
      </c>
      <c r="E60" s="5" t="s">
        <v>75</v>
      </c>
      <c r="F60" s="5" t="s">
        <v>371</v>
      </c>
      <c r="G60" s="17" t="s">
        <v>372</v>
      </c>
      <c r="H60" s="6">
        <v>1800</v>
      </c>
      <c r="I60" s="6">
        <v>400</v>
      </c>
      <c r="J60" s="11">
        <v>59</v>
      </c>
      <c r="K60" s="8">
        <v>43</v>
      </c>
      <c r="L60" s="8">
        <v>12.5</v>
      </c>
      <c r="M60" s="8" t="s">
        <v>360</v>
      </c>
      <c r="N60" s="8" t="s">
        <v>361</v>
      </c>
      <c r="O60" s="7">
        <v>1</v>
      </c>
      <c r="P60" s="9" t="s">
        <v>368</v>
      </c>
      <c r="Q60" t="s">
        <v>369</v>
      </c>
      <c r="R60" s="2" t="s">
        <v>353</v>
      </c>
      <c r="S60" s="1">
        <v>1020</v>
      </c>
    </row>
    <row r="61" spans="1:19" ht="15" customHeight="1" x14ac:dyDescent="0.4">
      <c r="A61" s="5" t="s">
        <v>34</v>
      </c>
      <c r="B61" s="5" t="s">
        <v>345</v>
      </c>
      <c r="C61" s="5" t="s">
        <v>373</v>
      </c>
      <c r="D61" s="5" t="s">
        <v>357</v>
      </c>
      <c r="E61" s="5" t="s">
        <v>90</v>
      </c>
      <c r="F61" s="5" t="s">
        <v>371</v>
      </c>
      <c r="G61" s="17" t="s">
        <v>372</v>
      </c>
      <c r="H61" s="6">
        <v>1800</v>
      </c>
      <c r="I61" s="6">
        <v>400</v>
      </c>
      <c r="J61" s="11">
        <v>59</v>
      </c>
      <c r="K61" s="8">
        <v>38</v>
      </c>
      <c r="L61" s="8">
        <v>7.5</v>
      </c>
      <c r="M61" s="8" t="s">
        <v>364</v>
      </c>
      <c r="N61" s="8" t="s">
        <v>361</v>
      </c>
      <c r="O61" s="7">
        <v>1</v>
      </c>
      <c r="P61" s="9" t="s">
        <v>368</v>
      </c>
      <c r="Q61" t="s">
        <v>369</v>
      </c>
      <c r="R61" s="2" t="s">
        <v>353</v>
      </c>
      <c r="S61" s="1">
        <v>1020</v>
      </c>
    </row>
    <row r="62" spans="1:19" ht="15" customHeight="1" x14ac:dyDescent="0.4">
      <c r="A62" s="5" t="s">
        <v>35</v>
      </c>
      <c r="B62" s="5" t="s">
        <v>345</v>
      </c>
      <c r="C62" s="5" t="s">
        <v>373</v>
      </c>
      <c r="D62" s="5" t="s">
        <v>357</v>
      </c>
      <c r="E62" s="5" t="s">
        <v>90</v>
      </c>
      <c r="F62" s="5" t="s">
        <v>371</v>
      </c>
      <c r="G62" s="17" t="s">
        <v>372</v>
      </c>
      <c r="H62" s="6">
        <v>1800</v>
      </c>
      <c r="I62" s="6">
        <v>400</v>
      </c>
      <c r="J62" s="11">
        <v>59</v>
      </c>
      <c r="K62" s="8">
        <v>39</v>
      </c>
      <c r="L62" s="8">
        <v>8.5</v>
      </c>
      <c r="M62" s="8" t="s">
        <v>364</v>
      </c>
      <c r="N62" s="8" t="s">
        <v>361</v>
      </c>
      <c r="O62" s="7">
        <v>1</v>
      </c>
      <c r="P62" s="9" t="s">
        <v>368</v>
      </c>
      <c r="Q62" t="s">
        <v>369</v>
      </c>
      <c r="R62" s="2" t="s">
        <v>353</v>
      </c>
      <c r="S62" s="1">
        <v>1020</v>
      </c>
    </row>
    <row r="63" spans="1:19" ht="15" customHeight="1" x14ac:dyDescent="0.4">
      <c r="A63" s="5" t="s">
        <v>36</v>
      </c>
      <c r="B63" s="5" t="s">
        <v>345</v>
      </c>
      <c r="C63" s="5" t="s">
        <v>373</v>
      </c>
      <c r="D63" s="5" t="s">
        <v>357</v>
      </c>
      <c r="E63" s="5" t="s">
        <v>90</v>
      </c>
      <c r="F63" s="5" t="s">
        <v>371</v>
      </c>
      <c r="G63" s="17" t="s">
        <v>372</v>
      </c>
      <c r="H63" s="6">
        <v>1800</v>
      </c>
      <c r="I63" s="6">
        <v>400</v>
      </c>
      <c r="J63" s="11">
        <v>59</v>
      </c>
      <c r="K63" s="8">
        <v>40</v>
      </c>
      <c r="L63" s="8">
        <v>9.5</v>
      </c>
      <c r="M63" s="8" t="s">
        <v>364</v>
      </c>
      <c r="N63" s="8" t="s">
        <v>361</v>
      </c>
      <c r="O63" s="7">
        <v>1</v>
      </c>
      <c r="P63" s="9" t="s">
        <v>368</v>
      </c>
      <c r="Q63" t="s">
        <v>369</v>
      </c>
      <c r="R63" s="2" t="s">
        <v>353</v>
      </c>
      <c r="S63" s="1">
        <v>1020</v>
      </c>
    </row>
    <row r="64" spans="1:19" ht="15" customHeight="1" x14ac:dyDescent="0.4">
      <c r="A64" s="5" t="s">
        <v>37</v>
      </c>
      <c r="B64" s="5" t="s">
        <v>345</v>
      </c>
      <c r="C64" s="5" t="s">
        <v>373</v>
      </c>
      <c r="D64" s="5" t="s">
        <v>357</v>
      </c>
      <c r="E64" s="5" t="s">
        <v>90</v>
      </c>
      <c r="F64" s="5" t="s">
        <v>371</v>
      </c>
      <c r="G64" s="17" t="s">
        <v>372</v>
      </c>
      <c r="H64" s="6">
        <v>1800</v>
      </c>
      <c r="I64" s="6">
        <v>400</v>
      </c>
      <c r="J64" s="11">
        <v>59</v>
      </c>
      <c r="K64" s="8">
        <v>41</v>
      </c>
      <c r="L64" s="8">
        <v>10.5</v>
      </c>
      <c r="M64" s="8" t="s">
        <v>364</v>
      </c>
      <c r="N64" s="8" t="s">
        <v>361</v>
      </c>
      <c r="O64" s="7">
        <v>1</v>
      </c>
      <c r="P64" s="9" t="s">
        <v>368</v>
      </c>
      <c r="Q64" t="s">
        <v>369</v>
      </c>
      <c r="R64" s="2" t="s">
        <v>353</v>
      </c>
      <c r="S64" s="1">
        <v>1020</v>
      </c>
    </row>
    <row r="65" spans="1:19" ht="15" customHeight="1" x14ac:dyDescent="0.4">
      <c r="A65" s="5" t="s">
        <v>38</v>
      </c>
      <c r="B65" s="5" t="s">
        <v>345</v>
      </c>
      <c r="C65" s="5" t="s">
        <v>373</v>
      </c>
      <c r="D65" s="5" t="s">
        <v>357</v>
      </c>
      <c r="E65" s="5" t="s">
        <v>90</v>
      </c>
      <c r="F65" s="5" t="s">
        <v>371</v>
      </c>
      <c r="G65" s="17" t="s">
        <v>372</v>
      </c>
      <c r="H65" s="6">
        <v>1800</v>
      </c>
      <c r="I65" s="6">
        <v>400</v>
      </c>
      <c r="J65" s="11">
        <v>59</v>
      </c>
      <c r="K65" s="8">
        <v>42</v>
      </c>
      <c r="L65" s="8">
        <v>11.5</v>
      </c>
      <c r="M65" s="8" t="s">
        <v>364</v>
      </c>
      <c r="N65" s="8" t="s">
        <v>361</v>
      </c>
      <c r="O65" s="7">
        <v>1</v>
      </c>
      <c r="P65" s="9" t="s">
        <v>368</v>
      </c>
      <c r="Q65" t="s">
        <v>369</v>
      </c>
      <c r="R65" s="2" t="s">
        <v>353</v>
      </c>
      <c r="S65" s="1">
        <v>1020</v>
      </c>
    </row>
    <row r="66" spans="1:19" ht="14.6" x14ac:dyDescent="0.4">
      <c r="A66" s="5" t="s">
        <v>7</v>
      </c>
      <c r="B66" s="5" t="s">
        <v>345</v>
      </c>
      <c r="C66" s="5" t="s">
        <v>373</v>
      </c>
      <c r="D66" s="5" t="s">
        <v>357</v>
      </c>
      <c r="E66" s="5" t="s">
        <v>90</v>
      </c>
      <c r="F66" s="5" t="s">
        <v>371</v>
      </c>
      <c r="G66" s="17" t="s">
        <v>372</v>
      </c>
      <c r="H66" s="6">
        <v>1800</v>
      </c>
      <c r="I66" s="6">
        <v>400</v>
      </c>
      <c r="J66" s="11">
        <v>59</v>
      </c>
      <c r="K66" s="8">
        <v>43</v>
      </c>
      <c r="L66" s="8">
        <v>12.5</v>
      </c>
      <c r="M66" s="8" t="s">
        <v>364</v>
      </c>
      <c r="N66" s="8" t="s">
        <v>361</v>
      </c>
      <c r="O66" s="7">
        <v>1</v>
      </c>
      <c r="P66" s="9" t="s">
        <v>368</v>
      </c>
      <c r="Q66" t="s">
        <v>369</v>
      </c>
      <c r="R66" s="2" t="s">
        <v>353</v>
      </c>
      <c r="S66" s="1">
        <v>1020</v>
      </c>
    </row>
    <row r="67" spans="1:19" ht="14.6" x14ac:dyDescent="0.4">
      <c r="A67" s="5" t="s">
        <v>9</v>
      </c>
      <c r="B67" s="5" t="s">
        <v>345</v>
      </c>
      <c r="C67" s="5" t="s">
        <v>373</v>
      </c>
      <c r="D67" s="5" t="s">
        <v>357</v>
      </c>
      <c r="E67" s="5" t="s">
        <v>90</v>
      </c>
      <c r="F67" s="5" t="s">
        <v>371</v>
      </c>
      <c r="G67" s="17" t="s">
        <v>372</v>
      </c>
      <c r="H67" s="6">
        <v>1800</v>
      </c>
      <c r="I67" s="6">
        <v>400</v>
      </c>
      <c r="J67" s="11">
        <v>59</v>
      </c>
      <c r="K67" s="8">
        <v>44</v>
      </c>
      <c r="L67" s="8">
        <v>13.5</v>
      </c>
      <c r="M67" s="8" t="s">
        <v>364</v>
      </c>
      <c r="N67" s="8" t="s">
        <v>361</v>
      </c>
      <c r="O67" s="7">
        <v>1</v>
      </c>
      <c r="P67" s="9" t="s">
        <v>368</v>
      </c>
      <c r="Q67" t="s">
        <v>369</v>
      </c>
      <c r="R67" s="2" t="s">
        <v>353</v>
      </c>
      <c r="S67" s="1">
        <v>1020</v>
      </c>
    </row>
    <row r="68" spans="1:19" ht="14.6" x14ac:dyDescent="0.4">
      <c r="A68" s="5" t="s">
        <v>11</v>
      </c>
      <c r="B68" s="5" t="s">
        <v>345</v>
      </c>
      <c r="C68" s="5" t="s">
        <v>373</v>
      </c>
      <c r="D68" s="5" t="s">
        <v>357</v>
      </c>
      <c r="E68" s="5" t="s">
        <v>90</v>
      </c>
      <c r="F68" s="5" t="s">
        <v>371</v>
      </c>
      <c r="G68" s="17" t="s">
        <v>372</v>
      </c>
      <c r="H68" s="6">
        <v>1800</v>
      </c>
      <c r="I68" s="6">
        <v>400</v>
      </c>
      <c r="J68" s="11">
        <v>59</v>
      </c>
      <c r="K68" s="8">
        <v>45</v>
      </c>
      <c r="L68" s="8">
        <v>14.5</v>
      </c>
      <c r="M68" s="8" t="s">
        <v>364</v>
      </c>
      <c r="N68" s="8" t="s">
        <v>361</v>
      </c>
      <c r="O68" s="7">
        <v>1</v>
      </c>
      <c r="P68" s="9" t="s">
        <v>368</v>
      </c>
      <c r="Q68" t="s">
        <v>369</v>
      </c>
      <c r="R68" s="2" t="s">
        <v>353</v>
      </c>
      <c r="S68" s="1">
        <v>1020</v>
      </c>
    </row>
    <row r="69" spans="1:19" ht="14.6" x14ac:dyDescent="0.4">
      <c r="A69" s="5" t="s">
        <v>13</v>
      </c>
      <c r="B69" s="5" t="s">
        <v>345</v>
      </c>
      <c r="C69" s="5" t="s">
        <v>373</v>
      </c>
      <c r="D69" s="5" t="s">
        <v>357</v>
      </c>
      <c r="E69" s="5" t="s">
        <v>90</v>
      </c>
      <c r="F69" s="5" t="s">
        <v>371</v>
      </c>
      <c r="G69" s="17" t="s">
        <v>372</v>
      </c>
      <c r="H69" s="6">
        <v>1800</v>
      </c>
      <c r="I69" s="6">
        <v>400</v>
      </c>
      <c r="J69" s="11">
        <v>59</v>
      </c>
      <c r="K69" s="8">
        <v>46</v>
      </c>
      <c r="L69" s="8">
        <v>15.5</v>
      </c>
      <c r="M69" s="8" t="s">
        <v>364</v>
      </c>
      <c r="N69" s="8" t="s">
        <v>361</v>
      </c>
      <c r="O69" s="7">
        <v>1</v>
      </c>
      <c r="P69" s="9" t="s">
        <v>368</v>
      </c>
      <c r="Q69" t="s">
        <v>369</v>
      </c>
      <c r="R69" s="2" t="s">
        <v>353</v>
      </c>
      <c r="S69" s="1">
        <v>1020</v>
      </c>
    </row>
    <row r="70" spans="1:19" ht="14.6" x14ac:dyDescent="0.4">
      <c r="I70" s="6"/>
      <c r="P70" s="9"/>
      <c r="S70" s="1"/>
    </row>
  </sheetData>
  <pageMargins left="0.7" right="0.7" top="0.75" bottom="0.75" header="0.3" footer="0.3"/>
  <legacy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A010D-DA4F-4435-96E7-A8B2CBE6666D}">
  <sheetPr codeName="Ark5"/>
  <dimension ref="A1:K28"/>
  <sheetViews>
    <sheetView workbookViewId="0">
      <selection activeCell="F2" sqref="F2:F28"/>
    </sheetView>
  </sheetViews>
  <sheetFormatPr defaultColWidth="8.84375" defaultRowHeight="14.6" x14ac:dyDescent="0.4"/>
  <cols>
    <col min="1" max="1" width="20" customWidth="1"/>
    <col min="2" max="2" width="19.69140625" style="35" customWidth="1"/>
    <col min="3" max="3" width="27.69140625" style="36" customWidth="1"/>
    <col min="4" max="4" width="19.15234375" customWidth="1"/>
    <col min="5" max="6" width="10" customWidth="1"/>
    <col min="7" max="8" width="14.3828125" customWidth="1"/>
    <col min="9" max="9" width="14.69140625" customWidth="1"/>
    <col min="10" max="10" width="15.84375" customWidth="1"/>
    <col min="11" max="11" width="11.3046875" bestFit="1" customWidth="1"/>
  </cols>
  <sheetData>
    <row r="1" spans="1:11" x14ac:dyDescent="0.4">
      <c r="A1" s="16" t="s">
        <v>376</v>
      </c>
      <c r="B1" s="32" t="s">
        <v>323</v>
      </c>
      <c r="C1" s="33" t="s">
        <v>324</v>
      </c>
      <c r="D1" s="16" t="s">
        <v>3</v>
      </c>
      <c r="E1" s="16" t="s">
        <v>325</v>
      </c>
      <c r="F1" s="33" t="s">
        <v>374</v>
      </c>
      <c r="G1" s="16" t="s">
        <v>381</v>
      </c>
      <c r="H1" s="16" t="s">
        <v>377</v>
      </c>
      <c r="I1" s="16" t="s">
        <v>327</v>
      </c>
      <c r="J1" s="16" t="s">
        <v>4</v>
      </c>
      <c r="K1" s="16" t="s">
        <v>65</v>
      </c>
    </row>
    <row r="2" spans="1:11" ht="15.9" x14ac:dyDescent="0.45">
      <c r="A2" s="18">
        <v>100001</v>
      </c>
      <c r="B2" s="34">
        <v>44928</v>
      </c>
      <c r="C2" s="34">
        <v>44932</v>
      </c>
      <c r="D2" s="18" t="s">
        <v>62</v>
      </c>
      <c r="E2" s="18">
        <v>1</v>
      </c>
      <c r="F2" s="18" t="s">
        <v>375</v>
      </c>
      <c r="G2" s="18">
        <v>300</v>
      </c>
      <c r="H2" s="18">
        <f>IF(tblSalgOrdre2[[#This Row],[Status]]="Salg",150,0)</f>
        <v>0</v>
      </c>
      <c r="I2" s="18">
        <f>IF(tblSalgOrdre2[[#This Row],[Status]]="Salg",900,0)</f>
        <v>0</v>
      </c>
      <c r="J2" s="18">
        <v>1102</v>
      </c>
      <c r="K2" s="18">
        <v>1799</v>
      </c>
    </row>
    <row r="3" spans="1:11" ht="15.9" x14ac:dyDescent="0.45">
      <c r="A3" s="18">
        <v>100002</v>
      </c>
      <c r="B3" s="34">
        <v>44932</v>
      </c>
      <c r="C3" s="34">
        <v>44936</v>
      </c>
      <c r="D3" s="18" t="s">
        <v>45</v>
      </c>
      <c r="E3" s="18">
        <v>1</v>
      </c>
      <c r="F3" s="18" t="s">
        <v>94</v>
      </c>
      <c r="G3" s="18">
        <v>300</v>
      </c>
      <c r="H3" s="18">
        <f>IF(tblSalgOrdre2[[#This Row],[Status]]="Salg",150,0)</f>
        <v>150</v>
      </c>
      <c r="I3" s="18">
        <f>IF(tblSalgOrdre2[[#This Row],[Status]]="Salg",900,0)</f>
        <v>900</v>
      </c>
      <c r="J3" s="18">
        <v>1137</v>
      </c>
      <c r="K3" s="18">
        <v>1793</v>
      </c>
    </row>
    <row r="4" spans="1:11" ht="15.9" x14ac:dyDescent="0.45">
      <c r="A4" s="18">
        <v>100003</v>
      </c>
      <c r="B4" s="34">
        <v>44936</v>
      </c>
      <c r="C4" s="34">
        <v>44940</v>
      </c>
      <c r="D4" s="18" t="s">
        <v>17</v>
      </c>
      <c r="E4" s="18">
        <v>1</v>
      </c>
      <c r="F4" s="18" t="s">
        <v>375</v>
      </c>
      <c r="G4" s="18">
        <v>300</v>
      </c>
      <c r="H4" s="18">
        <f>IF(tblSalgOrdre2[[#This Row],[Status]]="Salg",150,0)</f>
        <v>0</v>
      </c>
      <c r="I4" s="18">
        <f>IF(tblSalgOrdre2[[#This Row],[Status]]="Salg",900,0)</f>
        <v>0</v>
      </c>
      <c r="J4" s="18">
        <v>1113</v>
      </c>
      <c r="K4" s="18">
        <v>1796</v>
      </c>
    </row>
    <row r="5" spans="1:11" ht="15.9" x14ac:dyDescent="0.45">
      <c r="A5" s="18">
        <v>100004</v>
      </c>
      <c r="B5" s="34">
        <v>44940</v>
      </c>
      <c r="C5" s="34">
        <v>44944</v>
      </c>
      <c r="D5" s="18" t="s">
        <v>52</v>
      </c>
      <c r="E5" s="18">
        <v>1</v>
      </c>
      <c r="F5" s="18"/>
      <c r="G5" s="18">
        <v>300</v>
      </c>
      <c r="H5" s="18">
        <f>IF(tblSalgOrdre2[[#This Row],[Status]]="Salg",150,0)</f>
        <v>0</v>
      </c>
      <c r="I5" s="18">
        <f>IF(tblSalgOrdre2[[#This Row],[Status]]="Salg",900,0)</f>
        <v>0</v>
      </c>
      <c r="J5" s="18">
        <v>1150</v>
      </c>
      <c r="K5" s="18">
        <v>1823</v>
      </c>
    </row>
    <row r="6" spans="1:11" ht="15.9" x14ac:dyDescent="0.45">
      <c r="A6" s="18">
        <v>100005</v>
      </c>
      <c r="B6" s="34">
        <v>44944</v>
      </c>
      <c r="C6" s="34">
        <v>44948</v>
      </c>
      <c r="D6" s="18" t="s">
        <v>56</v>
      </c>
      <c r="E6" s="18">
        <v>1</v>
      </c>
      <c r="F6" s="18"/>
      <c r="G6" s="18">
        <v>300</v>
      </c>
      <c r="H6" s="18">
        <f>IF(tblSalgOrdre2[[#This Row],[Status]]="Salg",150,0)</f>
        <v>0</v>
      </c>
      <c r="I6" s="18">
        <f>IF(tblSalgOrdre2[[#This Row],[Status]]="Salg",900,0)</f>
        <v>0</v>
      </c>
      <c r="J6" s="18">
        <v>1168</v>
      </c>
      <c r="K6" s="18">
        <v>1766</v>
      </c>
    </row>
    <row r="7" spans="1:11" ht="15.9" x14ac:dyDescent="0.45">
      <c r="A7" s="18">
        <v>100006</v>
      </c>
      <c r="B7" s="34">
        <v>44948</v>
      </c>
      <c r="C7" s="34">
        <v>44952</v>
      </c>
      <c r="D7" s="18" t="s">
        <v>30</v>
      </c>
      <c r="E7" s="18">
        <v>1</v>
      </c>
      <c r="F7" s="18"/>
      <c r="G7" s="18">
        <v>300</v>
      </c>
      <c r="H7" s="18">
        <f>IF(tblSalgOrdre2[[#This Row],[Status]]="Salg",150,0)</f>
        <v>0</v>
      </c>
      <c r="I7" s="18">
        <f>IF(tblSalgOrdre2[[#This Row],[Status]]="Salg",900,0)</f>
        <v>0</v>
      </c>
      <c r="J7" s="18">
        <v>1119</v>
      </c>
      <c r="K7" s="18">
        <v>1790</v>
      </c>
    </row>
    <row r="8" spans="1:11" ht="15.9" x14ac:dyDescent="0.45">
      <c r="A8" s="18">
        <v>100007</v>
      </c>
      <c r="B8" s="34">
        <v>44952</v>
      </c>
      <c r="C8" s="34">
        <v>44956</v>
      </c>
      <c r="D8" s="18" t="s">
        <v>55</v>
      </c>
      <c r="E8" s="18">
        <v>1</v>
      </c>
      <c r="F8" s="18"/>
      <c r="G8" s="18">
        <v>300</v>
      </c>
      <c r="H8" s="18">
        <f>IF(tblSalgOrdre2[[#This Row],[Status]]="Salg",150,0)</f>
        <v>0</v>
      </c>
      <c r="I8" s="18">
        <f>IF(tblSalgOrdre2[[#This Row],[Status]]="Salg",900,0)</f>
        <v>0</v>
      </c>
      <c r="J8" s="18">
        <v>1102</v>
      </c>
      <c r="K8" s="18">
        <v>1796</v>
      </c>
    </row>
    <row r="9" spans="1:11" ht="15.9" x14ac:dyDescent="0.45">
      <c r="A9" s="18">
        <v>100008</v>
      </c>
      <c r="B9" s="34">
        <v>44956</v>
      </c>
      <c r="C9" s="34">
        <v>44960</v>
      </c>
      <c r="D9" s="18" t="s">
        <v>10</v>
      </c>
      <c r="E9" s="18">
        <v>1</v>
      </c>
      <c r="F9" s="18"/>
      <c r="G9" s="18">
        <v>300</v>
      </c>
      <c r="H9" s="18">
        <f>IF(tblSalgOrdre2[[#This Row],[Status]]="Salg",150,0)</f>
        <v>0</v>
      </c>
      <c r="I9" s="18">
        <f>IF(tblSalgOrdre2[[#This Row],[Status]]="Salg",900,0)</f>
        <v>0</v>
      </c>
      <c r="J9" s="18">
        <v>1137</v>
      </c>
      <c r="K9" s="18">
        <v>1829</v>
      </c>
    </row>
    <row r="10" spans="1:11" ht="15.9" x14ac:dyDescent="0.45">
      <c r="A10" s="18">
        <v>100009</v>
      </c>
      <c r="B10" s="34">
        <v>44960</v>
      </c>
      <c r="C10" s="34">
        <v>44964</v>
      </c>
      <c r="D10" s="18" t="s">
        <v>14</v>
      </c>
      <c r="E10" s="18">
        <v>1</v>
      </c>
      <c r="F10" s="18"/>
      <c r="G10" s="18">
        <v>300</v>
      </c>
      <c r="H10" s="18">
        <f>IF(tblSalgOrdre2[[#This Row],[Status]]="Salg",150,0)</f>
        <v>0</v>
      </c>
      <c r="I10" s="18">
        <f>IF(tblSalgOrdre2[[#This Row],[Status]]="Salg",900,0)</f>
        <v>0</v>
      </c>
      <c r="J10" s="18">
        <v>1113</v>
      </c>
      <c r="K10" s="18">
        <v>1793</v>
      </c>
    </row>
    <row r="11" spans="1:11" ht="15.9" x14ac:dyDescent="0.45">
      <c r="A11" s="18">
        <v>100010</v>
      </c>
      <c r="B11" s="34">
        <v>44964</v>
      </c>
      <c r="C11" s="34">
        <v>44968</v>
      </c>
      <c r="D11" s="18" t="s">
        <v>135</v>
      </c>
      <c r="E11" s="18">
        <v>1</v>
      </c>
      <c r="F11" s="18"/>
      <c r="G11" s="18">
        <v>300</v>
      </c>
      <c r="H11" s="18">
        <f>IF(tblSalgOrdre2[[#This Row],[Status]]="Salg",150,0)</f>
        <v>0</v>
      </c>
      <c r="I11" s="18">
        <f>IF(tblSalgOrdre2[[#This Row],[Status]]="Salg",900,0)</f>
        <v>0</v>
      </c>
      <c r="J11" s="18">
        <v>1150</v>
      </c>
      <c r="K11" s="18">
        <v>1838</v>
      </c>
    </row>
    <row r="12" spans="1:11" ht="15.9" x14ac:dyDescent="0.45">
      <c r="A12" s="18">
        <v>100011</v>
      </c>
      <c r="B12" s="34">
        <v>44968</v>
      </c>
      <c r="C12" s="34">
        <v>44972</v>
      </c>
      <c r="D12" s="18" t="s">
        <v>8</v>
      </c>
      <c r="E12" s="18">
        <v>1</v>
      </c>
      <c r="F12" s="18"/>
      <c r="G12" s="18">
        <v>300</v>
      </c>
      <c r="H12" s="18">
        <f>IF(tblSalgOrdre2[[#This Row],[Status]]="Salg",150,0)</f>
        <v>0</v>
      </c>
      <c r="I12" s="18">
        <f>IF(tblSalgOrdre2[[#This Row],[Status]]="Salg",900,0)</f>
        <v>0</v>
      </c>
      <c r="J12" s="18">
        <v>1131</v>
      </c>
      <c r="K12" s="18">
        <v>1793</v>
      </c>
    </row>
    <row r="13" spans="1:11" ht="15.9" x14ac:dyDescent="0.45">
      <c r="A13" s="18">
        <v>100012</v>
      </c>
      <c r="B13" s="34">
        <v>44972</v>
      </c>
      <c r="C13" s="34">
        <v>44976</v>
      </c>
      <c r="D13" s="18" t="s">
        <v>134</v>
      </c>
      <c r="E13" s="18">
        <v>1</v>
      </c>
      <c r="F13" s="18"/>
      <c r="G13" s="18">
        <v>300</v>
      </c>
      <c r="H13" s="18">
        <f>IF(tblSalgOrdre2[[#This Row],[Status]]="Salg",150,0)</f>
        <v>0</v>
      </c>
      <c r="I13" s="18">
        <f>IF(tblSalgOrdre2[[#This Row],[Status]]="Salg",900,0)</f>
        <v>0</v>
      </c>
      <c r="J13" s="18">
        <v>1119</v>
      </c>
      <c r="K13" s="18">
        <v>1829</v>
      </c>
    </row>
    <row r="14" spans="1:11" ht="15.9" x14ac:dyDescent="0.45">
      <c r="A14" s="18">
        <v>100013</v>
      </c>
      <c r="B14" s="34">
        <v>44976</v>
      </c>
      <c r="C14" s="34">
        <v>44980</v>
      </c>
      <c r="D14" s="18" t="s">
        <v>36</v>
      </c>
      <c r="E14" s="18">
        <v>1</v>
      </c>
      <c r="F14" s="18"/>
      <c r="G14" s="18">
        <v>300</v>
      </c>
      <c r="H14" s="18">
        <f>IF(tblSalgOrdre2[[#This Row],[Status]]="Salg",150,0)</f>
        <v>0</v>
      </c>
      <c r="I14" s="18">
        <f>IF(tblSalgOrdre2[[#This Row],[Status]]="Salg",900,0)</f>
        <v>0</v>
      </c>
      <c r="J14" s="18">
        <v>1102</v>
      </c>
      <c r="K14" s="18">
        <v>1850</v>
      </c>
    </row>
    <row r="15" spans="1:11" ht="15.9" x14ac:dyDescent="0.45">
      <c r="A15" s="18">
        <v>100014</v>
      </c>
      <c r="B15" s="34">
        <v>44980</v>
      </c>
      <c r="C15" s="34">
        <v>44984</v>
      </c>
      <c r="D15" s="18" t="s">
        <v>51</v>
      </c>
      <c r="E15" s="18">
        <v>1</v>
      </c>
      <c r="F15" s="18"/>
      <c r="G15" s="18">
        <v>300</v>
      </c>
      <c r="H15" s="18">
        <f>IF(tblSalgOrdre2[[#This Row],[Status]]="Salg",150,0)</f>
        <v>0</v>
      </c>
      <c r="I15" s="18">
        <f>IF(tblSalgOrdre2[[#This Row],[Status]]="Salg",900,0)</f>
        <v>0</v>
      </c>
      <c r="J15" s="18">
        <v>1137</v>
      </c>
      <c r="K15" s="18">
        <v>1766</v>
      </c>
    </row>
    <row r="16" spans="1:11" ht="15.9" x14ac:dyDescent="0.45">
      <c r="A16" s="18">
        <v>100015</v>
      </c>
      <c r="B16" s="34">
        <v>44984</v>
      </c>
      <c r="C16" s="34">
        <v>44988</v>
      </c>
      <c r="D16" s="18" t="s">
        <v>64</v>
      </c>
      <c r="E16" s="18">
        <v>1</v>
      </c>
      <c r="F16" s="18"/>
      <c r="G16" s="18">
        <v>300</v>
      </c>
      <c r="H16" s="18">
        <f>IF(tblSalgOrdre2[[#This Row],[Status]]="Salg",150,0)</f>
        <v>0</v>
      </c>
      <c r="I16" s="18">
        <f>IF(tblSalgOrdre2[[#This Row],[Status]]="Salg",900,0)</f>
        <v>0</v>
      </c>
      <c r="J16" s="18">
        <v>1113</v>
      </c>
      <c r="K16" s="18">
        <v>1754</v>
      </c>
    </row>
    <row r="17" spans="1:11" ht="15.9" x14ac:dyDescent="0.45">
      <c r="A17" s="18">
        <v>100016</v>
      </c>
      <c r="B17" s="34">
        <v>44988</v>
      </c>
      <c r="C17" s="34">
        <v>44992</v>
      </c>
      <c r="D17" s="18" t="s">
        <v>8</v>
      </c>
      <c r="E17" s="18">
        <v>1</v>
      </c>
      <c r="F17" s="18"/>
      <c r="G17" s="18">
        <v>300</v>
      </c>
      <c r="H17" s="18">
        <f>IF(tblSalgOrdre2[[#This Row],[Status]]="Salg",150,0)</f>
        <v>0</v>
      </c>
      <c r="I17" s="18">
        <f>IF(tblSalgOrdre2[[#This Row],[Status]]="Salg",900,0)</f>
        <v>0</v>
      </c>
      <c r="J17" s="18">
        <v>1150</v>
      </c>
      <c r="K17" s="18">
        <v>1793</v>
      </c>
    </row>
    <row r="18" spans="1:11" ht="15.9" x14ac:dyDescent="0.45">
      <c r="A18" s="18">
        <v>100017</v>
      </c>
      <c r="B18" s="34">
        <v>44992</v>
      </c>
      <c r="C18" s="34">
        <v>44996</v>
      </c>
      <c r="D18" s="18" t="s">
        <v>48</v>
      </c>
      <c r="E18" s="18">
        <v>1</v>
      </c>
      <c r="F18" s="18"/>
      <c r="G18" s="18">
        <v>300</v>
      </c>
      <c r="H18" s="18">
        <f>IF(tblSalgOrdre2[[#This Row],[Status]]="Salg",150,0)</f>
        <v>0</v>
      </c>
      <c r="I18" s="18">
        <f>IF(tblSalgOrdre2[[#This Row],[Status]]="Salg",900,0)</f>
        <v>0</v>
      </c>
      <c r="J18" s="18">
        <v>1131</v>
      </c>
      <c r="K18" s="18">
        <v>1757</v>
      </c>
    </row>
    <row r="19" spans="1:11" ht="15.9" x14ac:dyDescent="0.45">
      <c r="A19" s="18">
        <v>100018</v>
      </c>
      <c r="B19" s="34">
        <v>44996</v>
      </c>
      <c r="C19" s="34">
        <v>45000</v>
      </c>
      <c r="D19" s="18" t="s">
        <v>18</v>
      </c>
      <c r="E19" s="18">
        <v>1</v>
      </c>
      <c r="F19" s="18"/>
      <c r="G19" s="18">
        <v>300</v>
      </c>
      <c r="H19" s="18">
        <f>IF(tblSalgOrdre2[[#This Row],[Status]]="Salg",150,0)</f>
        <v>0</v>
      </c>
      <c r="I19" s="18">
        <f>IF(tblSalgOrdre2[[#This Row],[Status]]="Salg",900,0)</f>
        <v>0</v>
      </c>
      <c r="J19" s="18">
        <v>1119</v>
      </c>
      <c r="K19" s="18">
        <v>1793</v>
      </c>
    </row>
    <row r="20" spans="1:11" ht="15.9" x14ac:dyDescent="0.45">
      <c r="A20" s="18">
        <v>100019</v>
      </c>
      <c r="B20" s="34">
        <v>45000</v>
      </c>
      <c r="C20" s="34">
        <v>45004</v>
      </c>
      <c r="D20" s="18" t="s">
        <v>30</v>
      </c>
      <c r="E20" s="18">
        <v>1</v>
      </c>
      <c r="F20" s="18"/>
      <c r="G20" s="18">
        <v>300</v>
      </c>
      <c r="H20" s="18">
        <f>IF(tblSalgOrdre2[[#This Row],[Status]]="Salg",150,0)</f>
        <v>0</v>
      </c>
      <c r="I20" s="18">
        <f>IF(tblSalgOrdre2[[#This Row],[Status]]="Salg",900,0)</f>
        <v>0</v>
      </c>
      <c r="J20" s="18">
        <v>1102</v>
      </c>
      <c r="K20" s="18">
        <v>1748</v>
      </c>
    </row>
    <row r="21" spans="1:11" ht="15.9" x14ac:dyDescent="0.45">
      <c r="A21" s="18">
        <v>100020</v>
      </c>
      <c r="B21" s="34">
        <v>45004</v>
      </c>
      <c r="C21" s="34">
        <v>45008</v>
      </c>
      <c r="D21" s="18" t="s">
        <v>328</v>
      </c>
      <c r="E21" s="18">
        <v>1</v>
      </c>
      <c r="F21" s="18"/>
      <c r="G21" s="18">
        <v>300</v>
      </c>
      <c r="H21" s="18">
        <f>IF(tblSalgOrdre2[[#This Row],[Status]]="Salg",150,0)</f>
        <v>0</v>
      </c>
      <c r="I21" s="18">
        <f>IF(tblSalgOrdre2[[#This Row],[Status]]="Salg",900,0)</f>
        <v>0</v>
      </c>
      <c r="J21" s="18">
        <v>1137</v>
      </c>
      <c r="K21" s="18">
        <v>1811</v>
      </c>
    </row>
    <row r="22" spans="1:11" ht="15.9" x14ac:dyDescent="0.45">
      <c r="A22" s="18">
        <v>100021</v>
      </c>
      <c r="B22" s="34">
        <v>45008</v>
      </c>
      <c r="C22" s="34">
        <v>45012</v>
      </c>
      <c r="D22" s="18" t="s">
        <v>43</v>
      </c>
      <c r="E22" s="18">
        <v>1</v>
      </c>
      <c r="F22" s="18"/>
      <c r="G22" s="18">
        <v>300</v>
      </c>
      <c r="H22" s="18">
        <f>IF(tblSalgOrdre2[[#This Row],[Status]]="Salg",150,0)</f>
        <v>0</v>
      </c>
      <c r="I22" s="18">
        <f>IF(tblSalgOrdre2[[#This Row],[Status]]="Salg",900,0)</f>
        <v>0</v>
      </c>
      <c r="J22" s="18">
        <v>1113</v>
      </c>
      <c r="K22" s="18">
        <v>1835</v>
      </c>
    </row>
    <row r="23" spans="1:11" ht="15.9" x14ac:dyDescent="0.45">
      <c r="A23" s="18">
        <v>100022</v>
      </c>
      <c r="B23" s="34">
        <v>45012</v>
      </c>
      <c r="C23" s="34">
        <v>45016</v>
      </c>
      <c r="D23" s="18" t="s">
        <v>133</v>
      </c>
      <c r="E23" s="18">
        <v>1</v>
      </c>
      <c r="F23" s="18"/>
      <c r="G23" s="18">
        <v>300</v>
      </c>
      <c r="H23" s="18">
        <f>IF(tblSalgOrdre2[[#This Row],[Status]]="Salg",150,0)</f>
        <v>0</v>
      </c>
      <c r="I23" s="18">
        <f>IF(tblSalgOrdre2[[#This Row],[Status]]="Salg",900,0)</f>
        <v>0</v>
      </c>
      <c r="J23" s="18">
        <v>1150</v>
      </c>
      <c r="K23" s="18">
        <v>1844</v>
      </c>
    </row>
    <row r="24" spans="1:11" ht="15.9" x14ac:dyDescent="0.45">
      <c r="A24" s="18">
        <v>100023</v>
      </c>
      <c r="B24" s="34">
        <v>45016</v>
      </c>
      <c r="C24" s="34">
        <v>45020</v>
      </c>
      <c r="D24" s="18" t="s">
        <v>7</v>
      </c>
      <c r="E24" s="18">
        <v>1</v>
      </c>
      <c r="F24" s="18"/>
      <c r="G24" s="18">
        <v>300</v>
      </c>
      <c r="H24" s="18">
        <f>IF(tblSalgOrdre2[[#This Row],[Status]]="Salg",150,0)</f>
        <v>0</v>
      </c>
      <c r="I24" s="18">
        <f>IF(tblSalgOrdre2[[#This Row],[Status]]="Salg",900,0)</f>
        <v>0</v>
      </c>
      <c r="J24" s="18">
        <v>1131</v>
      </c>
      <c r="K24" s="18">
        <v>1799</v>
      </c>
    </row>
    <row r="25" spans="1:11" ht="15.9" x14ac:dyDescent="0.45">
      <c r="A25" s="18">
        <v>100024</v>
      </c>
      <c r="B25" s="34">
        <v>45020</v>
      </c>
      <c r="C25" s="34">
        <v>45024</v>
      </c>
      <c r="D25" s="18" t="s">
        <v>16</v>
      </c>
      <c r="E25" s="18">
        <v>1</v>
      </c>
      <c r="F25" s="18"/>
      <c r="G25" s="18">
        <v>300</v>
      </c>
      <c r="H25" s="18">
        <f>IF(tblSalgOrdre2[[#This Row],[Status]]="Salg",150,0)</f>
        <v>0</v>
      </c>
      <c r="I25" s="18">
        <f>IF(tblSalgOrdre2[[#This Row],[Status]]="Salg",900,0)</f>
        <v>0</v>
      </c>
      <c r="J25" s="18">
        <v>1119</v>
      </c>
      <c r="K25" s="18">
        <v>1784</v>
      </c>
    </row>
    <row r="26" spans="1:11" ht="15.9" x14ac:dyDescent="0.45">
      <c r="A26" s="18">
        <v>100025</v>
      </c>
      <c r="B26" s="34">
        <v>45024</v>
      </c>
      <c r="C26" s="34">
        <v>45028</v>
      </c>
      <c r="D26" s="18" t="s">
        <v>28</v>
      </c>
      <c r="E26" s="18">
        <v>1</v>
      </c>
      <c r="F26" s="18"/>
      <c r="G26" s="18">
        <v>300</v>
      </c>
      <c r="H26" s="18">
        <f>IF(tblSalgOrdre2[[#This Row],[Status]]="Salg",150,0)</f>
        <v>0</v>
      </c>
      <c r="I26" s="18">
        <f>IF(tblSalgOrdre2[[#This Row],[Status]]="Salg",900,0)</f>
        <v>0</v>
      </c>
      <c r="J26" s="18">
        <v>1102</v>
      </c>
      <c r="K26" s="18">
        <v>1760</v>
      </c>
    </row>
    <row r="27" spans="1:11" ht="15.9" x14ac:dyDescent="0.45">
      <c r="A27" s="18">
        <v>100026</v>
      </c>
      <c r="B27" s="34">
        <v>45028</v>
      </c>
      <c r="C27" s="34">
        <v>45032</v>
      </c>
      <c r="D27" s="18" t="s">
        <v>41</v>
      </c>
      <c r="E27" s="18">
        <v>1</v>
      </c>
      <c r="F27" s="18"/>
      <c r="G27" s="18">
        <v>300</v>
      </c>
      <c r="H27" s="18">
        <f>IF(tblSalgOrdre2[[#This Row],[Status]]="Salg",150,0)</f>
        <v>0</v>
      </c>
      <c r="I27" s="18">
        <f>IF(tblSalgOrdre2[[#This Row],[Status]]="Salg",900,0)</f>
        <v>0</v>
      </c>
      <c r="J27" s="18">
        <v>1137</v>
      </c>
      <c r="K27" s="18">
        <v>1793</v>
      </c>
    </row>
    <row r="28" spans="1:11" ht="15.9" x14ac:dyDescent="0.45">
      <c r="A28" s="18">
        <v>100027</v>
      </c>
      <c r="B28" s="34">
        <v>45032</v>
      </c>
      <c r="C28" s="34">
        <v>45036</v>
      </c>
      <c r="D28" s="18" t="s">
        <v>7</v>
      </c>
      <c r="E28" s="18">
        <v>1</v>
      </c>
      <c r="F28" s="18"/>
      <c r="G28" s="18">
        <v>300</v>
      </c>
      <c r="H28" s="18">
        <f>IF(tblSalgOrdre2[[#This Row],[Status]]="Salg",150,0)</f>
        <v>0</v>
      </c>
      <c r="I28" s="18">
        <f>IF(tblSalgOrdre2[[#This Row],[Status]]="Salg",900,0)</f>
        <v>0</v>
      </c>
      <c r="J28" s="18">
        <v>1113</v>
      </c>
      <c r="K28" s="18">
        <v>1814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xml version="1.0" encoding="utf-8"?>
<p:properties xmlns:p="http://schemas.microsoft.com/office/2006/metadata/properties" xmlns:pc="http://schemas.microsoft.com/office/infopath/2007/PartnerControls" xmlns:xsi="http://www.w3.org/2001/XMLSchema-instance">
  <documentManagement>
    <TaxCatchAll xmlns="be725e0a-23e4-475d-9fb8-227ca23214d7" xsi:nil="true"/>
    <lcf76f155ced4ddcb4097134ff3c332f xmlns="d9dc5008-e16d-499c-9a12-68ee2c83ea44">
      <Terms xmlns="http://schemas.microsoft.com/office/infopath/2007/PartnerControls"/>
    </lcf76f155ced4ddcb4097134ff3c332f>
  </documentManagement>
</p:properties>
</file>

<file path=customXml/item8.xml>�� 
</file>

<file path=customXml/item9.xml>�� 
</file>

<file path=customXml/item10.xml>�� 
</file>

<file path=customXml/item11.xml>�� 
</file>

<file path=customXml/item12.xml>�� 
</file>

<file path=customXml/item13.xml>�� 
</file>

<file path=customXml/item14.xml>�� 
</file>

<file path=customXml/item15.xml><?xml version="1.0" encoding="utf-8"?>
<ct:contentTypeSchema xmlns:ct="http://schemas.microsoft.com/office/2006/metadata/contentType" xmlns:ma="http://schemas.microsoft.com/office/2006/metadata/properties/metaAttributes" ct:_="" ma:_="" ma:contentTypeName="Dokument" ma:contentTypeID="0x010100B285DA0DC113814DAF308001C15C9507" ma:contentTypeVersion="19" ma:contentTypeDescription="Opret et nyt dokument." ma:contentTypeScope="" ma:versionID="ab6d91a4cb42eb106fc52442ece7964d">
  <xsd:schema xmlns:xsd="http://www.w3.org/2001/XMLSchema" xmlns:xs="http://www.w3.org/2001/XMLSchema" xmlns:p="http://schemas.microsoft.com/office/2006/metadata/properties" xmlns:ns2="d9dc5008-e16d-499c-9a12-68ee2c83ea44" xmlns:ns3="be725e0a-23e4-475d-9fb8-227ca23214d7" targetNamespace="http://schemas.microsoft.com/office/2006/metadata/properties" ma:root="true" ma:fieldsID="1e1e97f224659acae781aebba955b1a2" ns2:_="" ns3:_="">
    <xsd:import namespace="d9dc5008-e16d-499c-9a12-68ee2c83ea44"/>
    <xsd:import namespace="be725e0a-23e4-475d-9fb8-227ca23214d7"/>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3:TaxCatchAll" minOccurs="0"/>
                <xsd:element ref="ns2:lcf76f155ced4ddcb4097134ff3c332f"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dc5008-e16d-499c-9a12-68ee2c83ea4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Billedmærker" ma:readOnly="false" ma:fieldId="{5cf76f15-5ced-4ddc-b409-7134ff3c332f}" ma:taxonomyMulti="true" ma:sspId="3be3206f-6594-423d-94d7-634ea0bc888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725e0a-23e4-475d-9fb8-227ca23214d7" elementFormDefault="qualified">
    <xsd:import namespace="http://schemas.microsoft.com/office/2006/documentManagement/types"/>
    <xsd:import namespace="http://schemas.microsoft.com/office/infopath/2007/PartnerControls"/>
    <xsd:element name="SharedWithUsers" ma:index="14"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lt med detaljer" ma:internalName="SharedWithDetails" ma:readOnly="true">
      <xsd:simpleType>
        <xsd:restriction base="dms:Note">
          <xsd:maxLength value="255"/>
        </xsd:restriction>
      </xsd:simpleType>
    </xsd:element>
    <xsd:element name="TaxCatchAll" ma:index="21" nillable="true" ma:displayName="Taxonomy Catch All Column" ma:hidden="true" ma:list="{033a65fc-e886-4d4b-bde7-9142eef0657c}" ma:internalName="TaxCatchAll" ma:showField="CatchAllData" ma:web="be725e0a-23e4-475d-9fb8-227ca23214d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6.xml>�� 
</file>

<file path=customXml/item17.xml>�� 
</file>

<file path=customXml/item18.xml>�� 
</file>

<file path=customXml/item19.xml>�� 
</file>

<file path=customXml/item20.xml>�� 
</file>

<file path=customXml/item21.xml>�� 
</file>

<file path=customXml/item22.xml><?xml version="1.0" encoding="utf-8"?>
<?mso-contentType ?>
<FormTemplates xmlns="http://schemas.microsoft.com/sharepoint/v3/contenttype/forms">
  <Display>DocumentLibraryForm</Display>
  <Edit>DocumentLibraryForm</Edit>
  <New>DocumentLibraryForm</New>
</FormTemplates>
</file>

<file path=customXml/item23.xml>�� 
</file>

<file path=customXml/itemProps1.xml><?xml version="1.0" encoding="utf-8"?>
<ds:datastoreItem xmlns:ds="http://schemas.openxmlformats.org/officeDocument/2006/customXml" ds:itemID="{ECAB95E6-C9B6-4F76-B715-E1170185915F}">
  <ds:schemaRefs/>
</ds:datastoreItem>
</file>

<file path=customXml/itemProps2.xml><?xml version="1.0" encoding="utf-8"?>
<ds:datastoreItem xmlns:ds="http://schemas.openxmlformats.org/officeDocument/2006/customXml" ds:itemID="{77BB2CD8-D1AC-4575-AC98-525FC0DC74D6}">
  <ds:schemaRefs/>
</ds:datastoreItem>
</file>

<file path=customXml/itemProps3.xml><?xml version="1.0" encoding="utf-8"?>
<ds:datastoreItem xmlns:ds="http://schemas.openxmlformats.org/officeDocument/2006/customXml" ds:itemID="{4B9390EA-8A07-480A-9DC5-918E7CC96447}">
  <ds:schemaRefs/>
</ds:datastoreItem>
</file>

<file path=customXml/itemProps4.xml><?xml version="1.0" encoding="utf-8"?>
<ds:datastoreItem xmlns:ds="http://schemas.openxmlformats.org/officeDocument/2006/customXml" ds:itemID="{81164C01-5A08-4C78-884E-A24BDEEBE7A3}">
  <ds:schemaRefs/>
</ds:datastoreItem>
</file>

<file path=customXml/itemProps5.xml><?xml version="1.0" encoding="utf-8"?>
<ds:datastoreItem xmlns:ds="http://schemas.openxmlformats.org/officeDocument/2006/customXml" ds:itemID="{A4A00081-F125-459E-BFF9-0CFF92E5B085}">
  <ds:schemaRefs/>
</ds:datastoreItem>
</file>

<file path=customXml/itemProps6.xml><?xml version="1.0" encoding="utf-8"?>
<ds:datastoreItem xmlns:ds="http://schemas.openxmlformats.org/officeDocument/2006/customXml" ds:itemID="{2E5211F8-A83C-4A0E-89EA-EB022F37C477}">
  <ds:schemaRefs>
    <ds:schemaRef ds:uri="http://gemini/pivotcustomization/LinkedTables"/>
  </ds:schemaRefs>
</ds:datastoreItem>
</file>

<file path=customXml/itemProps7.xml><?xml version="1.0" encoding="utf-8"?>
<ds:datastoreItem xmlns:ds="http://schemas.openxmlformats.org/officeDocument/2006/customXml" ds:itemID="{36101D31-F691-4436-A911-BDE8158BB67A}">
  <ds:schemaRefs>
    <ds:schemaRef ds:uri="http://schemas.microsoft.com/office/2006/documentManagement/types"/>
    <ds:schemaRef ds:uri="http://www.w3.org/XML/1998/namespace"/>
    <ds:schemaRef ds:uri="http://purl.org/dc/terms/"/>
    <ds:schemaRef ds:uri="http://purl.org/dc/dcmitype/"/>
    <ds:schemaRef ds:uri="d9dc5008-e16d-499c-9a12-68ee2c83ea44"/>
    <ds:schemaRef ds:uri="http://purl.org/dc/elements/1.1/"/>
    <ds:schemaRef ds:uri="http://schemas.microsoft.com/office/infopath/2007/PartnerControls"/>
    <ds:schemaRef ds:uri="http://schemas.openxmlformats.org/package/2006/metadata/core-properties"/>
    <ds:schemaRef ds:uri="be725e0a-23e4-475d-9fb8-227ca23214d7"/>
    <ds:schemaRef ds:uri="http://schemas.microsoft.com/office/2006/metadata/properties"/>
  </ds:schemaRefs>
</ds:datastoreItem>
</file>

<file path=customXml/itemProps8.xml><?xml version="1.0" encoding="utf-8"?>
<ds:datastoreItem xmlns:ds="http://schemas.openxmlformats.org/officeDocument/2006/customXml" ds:itemID="{F22AB358-6388-4151-95B4-0F56036F8422}">
  <ds:schemaRefs/>
</ds:datastoreItem>
</file>

<file path=customXml/itemProps9.xml><?xml version="1.0" encoding="utf-8"?>
<ds:datastoreItem xmlns:ds="http://schemas.openxmlformats.org/officeDocument/2006/customXml" ds:itemID="{090B121B-1AF9-4153-9EF8-CC3DAD96F74A}">
  <ds:schemaRefs/>
</ds:datastoreItem>
</file>

<file path=customXml/itemProps10.xml><?xml version="1.0" encoding="utf-8"?>
<ds:datastoreItem xmlns:ds="http://schemas.openxmlformats.org/officeDocument/2006/customXml" ds:itemID="{D0ED1ED7-F8B1-4B45-A7E0-2E5DA3FBC44D}">
  <ds:schemaRefs/>
</ds:datastoreItem>
</file>

<file path=customXml/itemProps11.xml><?xml version="1.0" encoding="utf-8"?>
<ds:datastoreItem xmlns:ds="http://schemas.openxmlformats.org/officeDocument/2006/customXml" ds:itemID="{EFDCBF33-8E7E-454F-A86C-03D709708FCD}">
  <ds:schemaRefs/>
</ds:datastoreItem>
</file>

<file path=customXml/itemProps12.xml><?xml version="1.0" encoding="utf-8"?>
<ds:datastoreItem xmlns:ds="http://schemas.openxmlformats.org/officeDocument/2006/customXml" ds:itemID="{5934C98E-590C-44AF-9818-D25412A7B25C}">
  <ds:schemaRefs/>
</ds:datastoreItem>
</file>

<file path=customXml/itemProps13.xml><?xml version="1.0" encoding="utf-8"?>
<ds:datastoreItem xmlns:ds="http://schemas.openxmlformats.org/officeDocument/2006/customXml" ds:itemID="{702E0F55-0BD7-4F13-9ECB-E8A88532E177}">
  <ds:schemaRefs/>
</ds:datastoreItem>
</file>

<file path=customXml/itemProps14.xml><?xml version="1.0" encoding="utf-8"?>
<ds:datastoreItem xmlns:ds="http://schemas.openxmlformats.org/officeDocument/2006/customXml" ds:itemID="{30BE0F62-4DF7-4C0D-BD47-45D4D45989FF}">
  <ds:schemaRefs/>
</ds:datastoreItem>
</file>

<file path=customXml/itemProps15.xml><?xml version="1.0" encoding="utf-8"?>
<ds:datastoreItem xmlns:ds="http://schemas.openxmlformats.org/officeDocument/2006/customXml" ds:itemID="{7C7F17DE-BE4D-4A33-BB14-2174FB6900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9dc5008-e16d-499c-9a12-68ee2c83ea44"/>
    <ds:schemaRef ds:uri="be725e0a-23e4-475d-9fb8-227ca23214d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6.xml><?xml version="1.0" encoding="utf-8"?>
<ds:datastoreItem xmlns:ds="http://schemas.openxmlformats.org/officeDocument/2006/customXml" ds:itemID="{43874F5C-316D-4492-AAB2-4E57833CE653}">
  <ds:schemaRefs/>
</ds:datastoreItem>
</file>

<file path=customXml/itemProps17.xml><?xml version="1.0" encoding="utf-8"?>
<ds:datastoreItem xmlns:ds="http://schemas.openxmlformats.org/officeDocument/2006/customXml" ds:itemID="{5AD1357F-2158-48F2-AE79-5B3C218123DA}">
  <ds:schemaRefs/>
</ds:datastoreItem>
</file>

<file path=customXml/itemProps18.xml><?xml version="1.0" encoding="utf-8"?>
<ds:datastoreItem xmlns:ds="http://schemas.openxmlformats.org/officeDocument/2006/customXml" ds:itemID="{D78D42EA-C9C2-4BFE-B2A2-4AAD8B6552CC}">
  <ds:schemaRefs/>
</ds:datastoreItem>
</file>

<file path=customXml/itemProps19.xml><?xml version="1.0" encoding="utf-8"?>
<ds:datastoreItem xmlns:ds="http://schemas.openxmlformats.org/officeDocument/2006/customXml" ds:itemID="{1327CCCF-EC7E-46F1-A41B-E8DDE6978812}">
  <ds:schemaRefs/>
</ds:datastoreItem>
</file>

<file path=customXml/itemProps20.xml><?xml version="1.0" encoding="utf-8"?>
<ds:datastoreItem xmlns:ds="http://schemas.openxmlformats.org/officeDocument/2006/customXml" ds:itemID="{8959DD87-E3A4-4AE3-84CE-5DD66B486B53}">
  <ds:schemaRefs/>
</ds:datastoreItem>
</file>

<file path=customXml/itemProps21.xml><?xml version="1.0" encoding="utf-8"?>
<ds:datastoreItem xmlns:ds="http://schemas.openxmlformats.org/officeDocument/2006/customXml" ds:itemID="{72C275C5-B384-4C19-93ED-30B2BE9D56EC}">
  <ds:schemaRefs/>
</ds:datastoreItem>
</file>

<file path=customXml/itemProps22.xml><?xml version="1.0" encoding="utf-8"?>
<ds:datastoreItem xmlns:ds="http://schemas.openxmlformats.org/officeDocument/2006/customXml" ds:itemID="{A11FD15B-C292-4476-9AA9-A2FF2D0A22B1}">
  <ds:schemaRefs>
    <ds:schemaRef ds:uri="http://schemas.microsoft.com/sharepoint/v3/contenttype/forms"/>
  </ds:schemaRefs>
</ds:datastoreItem>
</file>

<file path=customXml/itemProps23.xml><?xml version="1.0" encoding="utf-8"?>
<ds:datastoreItem xmlns:ds="http://schemas.openxmlformats.org/officeDocument/2006/customXml" ds:itemID="{29C3F1D8-CC2B-4A23-B809-65185DCFB83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5</vt:i4>
      </vt:variant>
    </vt:vector>
  </HeadingPairs>
  <TitlesOfParts>
    <vt:vector size="5" baseType="lpstr">
      <vt:lpstr>Personale</vt:lpstr>
      <vt:lpstr>Kunde</vt:lpstr>
      <vt:lpstr>SalgsOrdreNye</vt:lpstr>
      <vt:lpstr>Produkter</vt:lpstr>
      <vt:lpstr>KøbsOrdreRefb</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Patrick Baumgartner</dc:creator>
  <cp:keywords/>
  <dc:description/>
  <cp:lastModifiedBy>Tue Hellstern</cp:lastModifiedBy>
  <cp:revision/>
  <dcterms:created xsi:type="dcterms:W3CDTF">2014-01-28T02:45:41Z</dcterms:created>
  <dcterms:modified xsi:type="dcterms:W3CDTF">2023-11-06T09:15:07Z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y fmtid="{D5CDD505-2E9C-101B-9397-08002B2CF9AE}" pid="3" name="ContentTypeId">
    <vt:lpwstr>0x010100B285DA0DC113814DAF308001C15C9507</vt:lpwstr>
  </property>
  <property fmtid="{D5CDD505-2E9C-101B-9397-08002B2CF9AE}" pid="4" name="MediaServiceImageTags">
    <vt:lpwstr/>
  </property>
</Properties>
</file>